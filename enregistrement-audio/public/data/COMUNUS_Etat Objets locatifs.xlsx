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unus.sharepoint.com/sites/ComunusSICAV/Documents partages/Immobilier/IMMEUBLES/Imm_Pièces/00 - Fiche technique immeuble/"/>
    </mc:Choice>
  </mc:AlternateContent>
  <xr:revisionPtr revIDLastSave="158" documentId="8_{B5DB0FFC-EB6F-4105-B461-7124D3D8E4B5}" xr6:coauthVersionLast="47" xr6:coauthVersionMax="47" xr10:uidLastSave="{3E155ED6-D3C3-4CB2-9F28-72D3AF79A086}"/>
  <bookViews>
    <workbookView xWindow="-110" yWindow="-110" windowWidth="19420" windowHeight="11500" xr2:uid="{D86B2B66-6B69-4C10-B8C3-396C8035C2A1}"/>
  </bookViews>
  <sheets>
    <sheet name="Feuil1" sheetId="1" r:id="rId1"/>
  </sheets>
  <definedNames>
    <definedName name="Header_AnneeConstruction" localSheetId="0">Feuil1!$D$3</definedName>
    <definedName name="Header_Periode" localSheetId="0">Feuil1!#REF!</definedName>
    <definedName name="Hidden_PraticableAgeImmeubleTranche1" localSheetId="0">Feuil1!$B$5</definedName>
    <definedName name="Hidden_PraticableAgeImmeubleTranche2" localSheetId="0">Feuil1!$C$5</definedName>
    <definedName name="Hidden_PraticablePctImmeubleTranche1" localSheetId="0">Feuil1!$D$5</definedName>
    <definedName name="Hidden_PraticablePctImmeubleTranche2" localSheetId="0">Feuil1!$E$5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1" l="1"/>
  <c r="G11" i="1"/>
  <c r="I71" i="1"/>
  <c r="H71" i="1"/>
  <c r="F71" i="1"/>
  <c r="H72" i="1"/>
  <c r="F72" i="1"/>
  <c r="G71" i="1"/>
  <c r="C71" i="1"/>
  <c r="I69" i="1"/>
  <c r="G69" i="1"/>
  <c r="I68" i="1"/>
  <c r="G68" i="1"/>
  <c r="I67" i="1"/>
  <c r="G67" i="1"/>
  <c r="I66" i="1"/>
  <c r="G66" i="1"/>
  <c r="I65" i="1"/>
  <c r="G65" i="1"/>
  <c r="I64" i="1"/>
  <c r="G64" i="1"/>
  <c r="I63" i="1"/>
  <c r="G63" i="1"/>
  <c r="I62" i="1"/>
  <c r="G62" i="1"/>
  <c r="I61" i="1"/>
  <c r="G61" i="1"/>
  <c r="I60" i="1"/>
  <c r="G60" i="1"/>
  <c r="I59" i="1"/>
  <c r="G59" i="1"/>
  <c r="I58" i="1"/>
  <c r="G58" i="1"/>
  <c r="I57" i="1"/>
  <c r="G57" i="1"/>
  <c r="I56" i="1"/>
  <c r="G56" i="1"/>
  <c r="I55" i="1"/>
  <c r="G55" i="1"/>
  <c r="I54" i="1"/>
  <c r="G54" i="1"/>
  <c r="I53" i="1"/>
  <c r="G53" i="1"/>
  <c r="I52" i="1"/>
  <c r="G52" i="1"/>
  <c r="I51" i="1"/>
  <c r="G51" i="1"/>
  <c r="I50" i="1"/>
  <c r="G50" i="1"/>
  <c r="I49" i="1"/>
  <c r="G49" i="1"/>
  <c r="I48" i="1"/>
  <c r="G48" i="1"/>
  <c r="I47" i="1"/>
  <c r="G47" i="1"/>
  <c r="I46" i="1"/>
  <c r="G46" i="1"/>
  <c r="I45" i="1"/>
  <c r="G45" i="1"/>
  <c r="I44" i="1"/>
  <c r="G44" i="1"/>
  <c r="I43" i="1"/>
  <c r="G43" i="1"/>
  <c r="I42" i="1"/>
  <c r="G42" i="1"/>
  <c r="I41" i="1"/>
  <c r="G41" i="1"/>
  <c r="I40" i="1"/>
  <c r="G40" i="1"/>
  <c r="I39" i="1"/>
  <c r="G39" i="1"/>
  <c r="I38" i="1"/>
  <c r="G38" i="1"/>
  <c r="I37" i="1"/>
  <c r="G37" i="1"/>
  <c r="I36" i="1"/>
  <c r="G36" i="1"/>
  <c r="I35" i="1"/>
  <c r="G35" i="1"/>
  <c r="I34" i="1"/>
  <c r="G34" i="1"/>
  <c r="I33" i="1"/>
  <c r="G33" i="1"/>
  <c r="I32" i="1"/>
  <c r="G32" i="1"/>
  <c r="I31" i="1"/>
  <c r="G31" i="1"/>
  <c r="I30" i="1"/>
  <c r="G30" i="1"/>
  <c r="I29" i="1"/>
  <c r="G29" i="1"/>
  <c r="I28" i="1"/>
  <c r="G28" i="1"/>
  <c r="I27" i="1"/>
  <c r="G27" i="1"/>
  <c r="I26" i="1"/>
  <c r="G26" i="1"/>
  <c r="I25" i="1"/>
  <c r="G25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I11" i="1"/>
</calcChain>
</file>

<file path=xl/sharedStrings.xml><?xml version="1.0" encoding="utf-8"?>
<sst xmlns="http://schemas.openxmlformats.org/spreadsheetml/2006/main" count="397" uniqueCount="56">
  <si>
    <t>Tableau d'état immeuble</t>
  </si>
  <si>
    <t>Année de construction :</t>
  </si>
  <si>
    <t>123</t>
  </si>
  <si>
    <t>Descriptif objets état locatif détaillé</t>
  </si>
  <si>
    <t>Loyers</t>
  </si>
  <si>
    <t>Descriptif détaillé des appartements, commerces et autres</t>
  </si>
  <si>
    <t>N° d'objets</t>
  </si>
  <si>
    <t>Etages</t>
  </si>
  <si>
    <t>Nbres de</t>
  </si>
  <si>
    <t>Surfaces</t>
  </si>
  <si>
    <t>Genre</t>
  </si>
  <si>
    <t>Effectifs</t>
  </si>
  <si>
    <t>Marché</t>
  </si>
  <si>
    <t>Locaux humides</t>
  </si>
  <si>
    <t>Locaux secs</t>
  </si>
  <si>
    <t>pièces</t>
  </si>
  <si>
    <r>
      <t xml:space="preserve"> m</t>
    </r>
    <r>
      <rPr>
        <b/>
        <vertAlign val="superscript"/>
        <sz val="8"/>
        <color rgb="FF1F497D"/>
        <rFont val="Arial"/>
      </rPr>
      <t>2</t>
    </r>
  </si>
  <si>
    <t>objet</t>
  </si>
  <si>
    <t>Cuisine</t>
  </si>
  <si>
    <t>Bains</t>
  </si>
  <si>
    <t>Douche</t>
  </si>
  <si>
    <t>WC séparé</t>
  </si>
  <si>
    <t>Hall</t>
  </si>
  <si>
    <t xml:space="preserve"> </t>
  </si>
  <si>
    <t>Mensuels</t>
  </si>
  <si>
    <r>
      <rPr>
        <b/>
        <sz val="8"/>
        <color rgb="FF1F497D"/>
        <rFont val="Arial"/>
      </rPr>
      <t>m</t>
    </r>
    <r>
      <rPr>
        <b/>
        <vertAlign val="superscript"/>
        <sz val="8"/>
        <color rgb="FF1F497D"/>
        <rFont val="Arial"/>
      </rPr>
      <t>2</t>
    </r>
  </si>
  <si>
    <t>Agencement</t>
  </si>
  <si>
    <t>Sol</t>
  </si>
  <si>
    <t>Distribution et appareils</t>
  </si>
  <si>
    <t>Peinture et papiers</t>
  </si>
  <si>
    <t xml:space="preserve">Totaux </t>
  </si>
  <si>
    <t>%</t>
  </si>
  <si>
    <t>Commentaires :</t>
  </si>
  <si>
    <t>*Définition du calcul pour le loyer praticable</t>
  </si>
  <si>
    <t>Le loyer praticable est calculé selon une formule qui dit que si l'immeuble à moins de 10 ans (base année de construction de l'immeuble) le loyer praticable est = au loyer du marché à 100%.</t>
  </si>
  <si>
    <t xml:space="preserve">Par contre si l'immeuble se situe entre 10 et 15 ans le loyer praticable est 95% du loyer du marché. </t>
  </si>
  <si>
    <t xml:space="preserve">Et si l'immeuble se situe entre 15 ans et plus le loyer praticable est 90% du loyer du marché. </t>
  </si>
  <si>
    <t>ADRESSE IMMEUBLE</t>
  </si>
  <si>
    <t>Régie :</t>
  </si>
  <si>
    <t>xxxxxx.xx.xxx</t>
  </si>
  <si>
    <t>xx</t>
  </si>
  <si>
    <t>x</t>
  </si>
  <si>
    <t>Période 2025</t>
  </si>
  <si>
    <t>électroménagers</t>
  </si>
  <si>
    <t>Peinture / entre-meuble</t>
  </si>
  <si>
    <t>Peinture / carrelage</t>
  </si>
  <si>
    <t>Boiserie</t>
  </si>
  <si>
    <t>Séjour</t>
  </si>
  <si>
    <t>Fenêtres</t>
  </si>
  <si>
    <t>Porte palière</t>
  </si>
  <si>
    <t>Porte accès</t>
  </si>
  <si>
    <t>chambre 1</t>
  </si>
  <si>
    <t>chambre 2</t>
  </si>
  <si>
    <t>chambre 3</t>
  </si>
  <si>
    <t>chambre 4</t>
  </si>
  <si>
    <t>chambre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</si>
</sst>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.\-"/>
    <numFmt numFmtId="165" formatCode="0.0\ \p"/>
    <numFmt numFmtId="166" formatCode="0.0\ \p."/>
    <numFmt numFmtId="167" formatCode="#,##0\ \m\2"/>
    <numFmt numFmtId="168" formatCode="#,##0.0\ \p\."/>
    <numFmt numFmtId="169" formatCode="#,##0\ \p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 Narrow"/>
    </font>
    <font>
      <b/>
      <sz val="14"/>
      <color theme="0"/>
      <name val="Arial"/>
    </font>
    <font>
      <b/>
      <sz val="12"/>
      <color theme="0"/>
      <name val="Arial"/>
    </font>
    <font>
      <b/>
      <sz val="9"/>
      <color theme="0"/>
      <name val="Arial"/>
    </font>
    <font>
      <b/>
      <sz val="8"/>
      <color theme="0"/>
      <name val="Arial"/>
    </font>
    <font>
      <sz val="11"/>
      <color theme="0"/>
      <name val="Aptos Narrow"/>
      <scheme val="minor"/>
    </font>
    <font>
      <b/>
      <sz val="9"/>
      <color rgb="FF1F497D"/>
      <name val="Arial"/>
    </font>
    <font>
      <b/>
      <sz val="8"/>
      <color rgb="FF1F497D"/>
      <name val="Arial"/>
    </font>
    <font>
      <b/>
      <vertAlign val="superscript"/>
      <sz val="8"/>
      <color rgb="FF1F497D"/>
      <name val="Arial"/>
    </font>
    <font>
      <b/>
      <sz val="8"/>
      <color theme="3"/>
      <name val="Arial"/>
    </font>
    <font>
      <b/>
      <sz val="12"/>
      <color theme="3"/>
      <name val="Arial"/>
    </font>
    <font>
      <b/>
      <sz val="9"/>
      <color theme="3"/>
      <name val="Arial"/>
    </font>
    <font>
      <sz val="9"/>
      <color theme="3"/>
      <name val="Arial"/>
    </font>
    <font>
      <b/>
      <i/>
      <sz val="9"/>
      <color theme="3"/>
      <name val="Arial"/>
    </font>
    <font>
      <u/>
      <sz val="11"/>
      <color theme="3"/>
      <name val="Arial"/>
    </font>
    <font>
      <sz val="11"/>
      <color theme="3"/>
      <name val="Arial"/>
    </font>
    <font>
      <b/>
      <sz val="14"/>
      <color rgb="FFFFFF00"/>
      <name val="Arial"/>
      <family val="2"/>
    </font>
    <font>
      <b/>
      <sz val="12"/>
      <color rgb="FFFFFF00"/>
      <name val="Arial"/>
      <family val="2"/>
    </font>
    <font>
      <b/>
      <sz val="8"/>
      <color theme="3"/>
      <name val="Arial"/>
      <family val="2"/>
    </font>
    <font>
      <b/>
      <sz val="8"/>
      <color rgb="FF1F497D"/>
      <name val="Arial"/>
      <family val="2"/>
    </font>
    <font>
      <b/>
      <sz val="14"/>
      <color theme="0"/>
      <name val="Arial"/>
      <family val="2"/>
    </font>
    <font>
      <sz val="8"/>
      <color theme="3"/>
      <name val="Arial"/>
      <family val="2"/>
    </font>
    <font>
      <b/>
      <sz val="24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96">
    <xf numFmtId="0" fontId="0" fillId="0" borderId="0" xfId="0"/>
    <xf numFmtId="0" fontId="7" fillId="0" borderId="0" xfId="0" applyFont="1" applyProtection="1">
      <protection hidden="1"/>
    </xf>
    <xf numFmtId="0" fontId="7" fillId="0" borderId="0" xfId="0" applyFont="1"/>
    <xf numFmtId="0" fontId="9" fillId="0" borderId="4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/>
    </xf>
    <xf numFmtId="0" fontId="9" fillId="0" borderId="11" xfId="2" applyFont="1" applyBorder="1" applyAlignment="1">
      <alignment horizontal="centerContinuous" vertical="center"/>
    </xf>
    <xf numFmtId="0" fontId="9" fillId="0" borderId="12" xfId="2" applyFont="1" applyBorder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" xfId="2" applyFont="1" applyBorder="1" applyAlignment="1">
      <alignment horizontal="centerContinuous" vertical="center"/>
    </xf>
    <xf numFmtId="165" fontId="9" fillId="0" borderId="13" xfId="2" applyNumberFormat="1" applyFont="1" applyBorder="1" applyAlignment="1">
      <alignment horizontal="center" vertical="center"/>
    </xf>
    <xf numFmtId="0" fontId="9" fillId="0" borderId="14" xfId="2" applyFont="1" applyBorder="1" applyAlignment="1">
      <alignment vertical="center"/>
    </xf>
    <xf numFmtId="0" fontId="9" fillId="0" borderId="18" xfId="2" applyFont="1" applyBorder="1" applyAlignment="1">
      <alignment horizontal="center" vertical="center"/>
    </xf>
    <xf numFmtId="0" fontId="10" fillId="0" borderId="17" xfId="2" applyFont="1" applyBorder="1" applyAlignment="1">
      <alignment horizontal="center" vertical="center"/>
    </xf>
    <xf numFmtId="10" fontId="9" fillId="0" borderId="18" xfId="2" applyNumberFormat="1" applyFont="1" applyBorder="1" applyAlignment="1">
      <alignment horizontal="center" textRotation="90"/>
    </xf>
    <xf numFmtId="10" fontId="9" fillId="0" borderId="1" xfId="2" applyNumberFormat="1" applyFont="1" applyBorder="1" applyAlignment="1">
      <alignment horizontal="center" textRotation="90"/>
    </xf>
    <xf numFmtId="0" fontId="0" fillId="0" borderId="19" xfId="0" applyBorder="1"/>
    <xf numFmtId="0" fontId="0" fillId="0" borderId="20" xfId="0" applyBorder="1"/>
    <xf numFmtId="166" fontId="0" fillId="0" borderId="20" xfId="0" applyNumberFormat="1" applyBorder="1"/>
    <xf numFmtId="0" fontId="0" fillId="0" borderId="21" xfId="0" applyBorder="1"/>
    <xf numFmtId="0" fontId="0" fillId="0" borderId="22" xfId="0" applyBorder="1"/>
    <xf numFmtId="164" fontId="6" fillId="2" borderId="26" xfId="0" applyNumberFormat="1" applyFont="1" applyFill="1" applyBorder="1" applyAlignment="1">
      <alignment vertical="center"/>
    </xf>
    <xf numFmtId="164" fontId="11" fillId="0" borderId="26" xfId="0" applyNumberFormat="1" applyFont="1" applyBorder="1" applyAlignment="1">
      <alignment vertical="center"/>
    </xf>
    <xf numFmtId="164" fontId="9" fillId="0" borderId="26" xfId="0" applyNumberFormat="1" applyFont="1" applyBorder="1" applyAlignment="1">
      <alignment vertical="center"/>
    </xf>
    <xf numFmtId="49" fontId="11" fillId="3" borderId="23" xfId="0" applyNumberFormat="1" applyFont="1" applyFill="1" applyBorder="1" applyAlignment="1" applyProtection="1">
      <alignment horizontal="center" vertical="center"/>
      <protection locked="0"/>
    </xf>
    <xf numFmtId="0" fontId="0" fillId="0" borderId="27" xfId="0" applyBorder="1"/>
    <xf numFmtId="0" fontId="0" fillId="0" borderId="28" xfId="0" applyBorder="1"/>
    <xf numFmtId="165" fontId="0" fillId="0" borderId="28" xfId="0" applyNumberFormat="1" applyBorder="1"/>
    <xf numFmtId="0" fontId="0" fillId="0" borderId="29" xfId="0" applyBorder="1"/>
    <xf numFmtId="0" fontId="0" fillId="0" borderId="30" xfId="0" applyBorder="1"/>
    <xf numFmtId="0" fontId="5" fillId="2" borderId="4" xfId="2" applyFont="1" applyFill="1" applyBorder="1" applyAlignment="1">
      <alignment vertical="center"/>
    </xf>
    <xf numFmtId="0" fontId="5" fillId="2" borderId="8" xfId="2" applyFont="1" applyFill="1" applyBorder="1" applyAlignment="1">
      <alignment vertical="center"/>
    </xf>
    <xf numFmtId="168" fontId="6" fillId="2" borderId="8" xfId="2" applyNumberFormat="1" applyFont="1" applyFill="1" applyBorder="1" applyAlignment="1">
      <alignment horizontal="center" vertical="center"/>
    </xf>
    <xf numFmtId="167" fontId="6" fillId="2" borderId="8" xfId="2" applyNumberFormat="1" applyFont="1" applyFill="1" applyBorder="1" applyAlignment="1">
      <alignment horizontal="center" vertical="center"/>
    </xf>
    <xf numFmtId="0" fontId="6" fillId="2" borderId="8" xfId="2" applyFont="1" applyFill="1" applyBorder="1" applyAlignment="1">
      <alignment horizontal="center" vertical="center"/>
    </xf>
    <xf numFmtId="164" fontId="6" fillId="2" borderId="8" xfId="2" applyNumberFormat="1" applyFont="1" applyFill="1" applyBorder="1" applyAlignment="1">
      <alignment horizontal="right" vertical="center"/>
    </xf>
    <xf numFmtId="169" fontId="5" fillId="2" borderId="8" xfId="2" applyNumberFormat="1" applyFont="1" applyFill="1" applyBorder="1" applyAlignment="1">
      <alignment vertical="center"/>
    </xf>
    <xf numFmtId="0" fontId="5" fillId="2" borderId="31" xfId="2" applyFont="1" applyFill="1" applyBorder="1" applyAlignment="1">
      <alignment vertical="center"/>
    </xf>
    <xf numFmtId="0" fontId="5" fillId="2" borderId="0" xfId="2" applyFont="1" applyFill="1" applyAlignment="1">
      <alignment horizontal="center" vertical="center"/>
    </xf>
    <xf numFmtId="0" fontId="5" fillId="2" borderId="0" xfId="2" applyFont="1" applyFill="1" applyAlignment="1">
      <alignment vertical="center"/>
    </xf>
    <xf numFmtId="0" fontId="6" fillId="2" borderId="0" xfId="2" applyFont="1" applyFill="1" applyAlignment="1">
      <alignment horizontal="center" vertical="center"/>
    </xf>
    <xf numFmtId="169" fontId="5" fillId="2" borderId="0" xfId="2" applyNumberFormat="1" applyFont="1" applyFill="1" applyAlignment="1">
      <alignment vertical="center"/>
    </xf>
    <xf numFmtId="0" fontId="12" fillId="4" borderId="0" xfId="2" applyFont="1" applyFill="1" applyAlignment="1" applyProtection="1">
      <alignment vertical="center"/>
      <protection locked="0"/>
    </xf>
    <xf numFmtId="164" fontId="13" fillId="4" borderId="0" xfId="2" applyNumberFormat="1" applyFont="1" applyFill="1" applyAlignment="1" applyProtection="1">
      <alignment horizontal="center" vertical="center"/>
      <protection locked="0"/>
    </xf>
    <xf numFmtId="164" fontId="13" fillId="4" borderId="0" xfId="2" applyNumberFormat="1" applyFont="1" applyFill="1" applyAlignment="1">
      <alignment horizontal="right" vertical="center"/>
    </xf>
    <xf numFmtId="164" fontId="13" fillId="4" borderId="0" xfId="2" applyNumberFormat="1" applyFont="1" applyFill="1" applyAlignment="1">
      <alignment vertical="center"/>
    </xf>
    <xf numFmtId="164" fontId="14" fillId="4" borderId="0" xfId="2" applyNumberFormat="1" applyFont="1" applyFill="1" applyAlignment="1">
      <alignment vertical="center"/>
    </xf>
    <xf numFmtId="1" fontId="15" fillId="4" borderId="0" xfId="2" applyNumberFormat="1" applyFont="1" applyFill="1" applyAlignment="1" applyProtection="1">
      <alignment horizontal="center" vertical="center"/>
      <protection locked="0"/>
    </xf>
    <xf numFmtId="0" fontId="16" fillId="0" borderId="0" xfId="2" applyFont="1"/>
    <xf numFmtId="0" fontId="17" fillId="0" borderId="0" xfId="2" applyFont="1"/>
    <xf numFmtId="0" fontId="3" fillId="5" borderId="0" xfId="2" applyFont="1" applyFill="1" applyAlignment="1">
      <alignment vertical="center"/>
    </xf>
    <xf numFmtId="0" fontId="4" fillId="5" borderId="0" xfId="2" applyFont="1" applyFill="1" applyAlignment="1">
      <alignment vertical="center"/>
    </xf>
    <xf numFmtId="164" fontId="5" fillId="5" borderId="0" xfId="2" applyNumberFormat="1" applyFont="1" applyFill="1" applyAlignment="1">
      <alignment horizontal="center" vertical="center"/>
    </xf>
    <xf numFmtId="164" fontId="5" fillId="5" borderId="0" xfId="2" applyNumberFormat="1" applyFont="1" applyFill="1" applyAlignment="1">
      <alignment horizontal="right" vertical="center"/>
    </xf>
    <xf numFmtId="0" fontId="18" fillId="5" borderId="0" xfId="2" applyFont="1" applyFill="1" applyAlignment="1">
      <alignment vertical="center"/>
    </xf>
    <xf numFmtId="0" fontId="19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0" borderId="23" xfId="0" applyFont="1" applyBorder="1" applyAlignment="1">
      <alignment vertical="center"/>
    </xf>
    <xf numFmtId="0" fontId="23" fillId="0" borderId="24" xfId="0" applyFont="1" applyBorder="1" applyAlignment="1">
      <alignment horizontal="left" vertical="center"/>
    </xf>
    <xf numFmtId="166" fontId="23" fillId="0" borderId="24" xfId="0" applyNumberFormat="1" applyFont="1" applyBorder="1" applyAlignment="1">
      <alignment horizontal="center" vertical="center"/>
    </xf>
    <xf numFmtId="167" fontId="23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vertical="center"/>
    </xf>
    <xf numFmtId="10" fontId="21" fillId="0" borderId="18" xfId="2" applyNumberFormat="1" applyFont="1" applyBorder="1" applyAlignment="1">
      <alignment horizontal="center" textRotation="90"/>
    </xf>
    <xf numFmtId="10" fontId="21" fillId="0" borderId="1" xfId="2" applyNumberFormat="1" applyFont="1" applyBorder="1" applyAlignment="1">
      <alignment horizontal="center" textRotation="90"/>
    </xf>
    <xf numFmtId="49" fontId="11" fillId="0" borderId="23" xfId="0" applyNumberFormat="1" applyFont="1" applyBorder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20" fillId="0" borderId="24" xfId="0" applyNumberFormat="1" applyFont="1" applyBorder="1" applyAlignment="1" applyProtection="1">
      <alignment horizontal="center" vertical="center"/>
      <protection locked="0"/>
    </xf>
    <xf numFmtId="49" fontId="11" fillId="6" borderId="24" xfId="0" applyNumberFormat="1" applyFont="1" applyFill="1" applyBorder="1" applyAlignment="1" applyProtection="1">
      <alignment horizontal="center" vertical="center"/>
      <protection locked="0"/>
    </xf>
    <xf numFmtId="0" fontId="24" fillId="5" borderId="0" xfId="2" applyFont="1" applyFill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9" fontId="9" fillId="0" borderId="4" xfId="1" applyFont="1" applyFill="1" applyBorder="1" applyAlignment="1" applyProtection="1">
      <alignment horizontal="center" vertical="center"/>
    </xf>
    <xf numFmtId="9" fontId="9" fillId="0" borderId="10" xfId="1" applyFont="1" applyFill="1" applyBorder="1" applyAlignment="1" applyProtection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164" fontId="8" fillId="0" borderId="1" xfId="2" applyNumberFormat="1" applyFont="1" applyBorder="1" applyAlignment="1">
      <alignment horizontal="center" vertical="center"/>
    </xf>
    <xf numFmtId="164" fontId="8" fillId="0" borderId="2" xfId="2" applyNumberFormat="1" applyFont="1" applyBorder="1" applyAlignment="1">
      <alignment horizontal="center" vertical="center"/>
    </xf>
    <xf numFmtId="164" fontId="8" fillId="0" borderId="3" xfId="2" applyNumberFormat="1" applyFont="1" applyBorder="1" applyAlignment="1">
      <alignment horizontal="center" vertical="center"/>
    </xf>
    <xf numFmtId="0" fontId="21" fillId="0" borderId="1" xfId="2" applyFont="1" applyBorder="1" applyAlignment="1">
      <alignment horizontal="center" vertical="center"/>
    </xf>
    <xf numFmtId="0" fontId="21" fillId="0" borderId="2" xfId="2" applyFont="1" applyBorder="1" applyAlignment="1">
      <alignment horizontal="center" vertical="center"/>
    </xf>
    <xf numFmtId="0" fontId="21" fillId="0" borderId="3" xfId="2" applyFont="1" applyBorder="1" applyAlignment="1">
      <alignment horizontal="center" vertical="center"/>
    </xf>
    <xf numFmtId="14" fontId="9" fillId="0" borderId="11" xfId="2" applyNumberFormat="1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14" fontId="9" fillId="0" borderId="11" xfId="1" applyNumberFormat="1" applyFont="1" applyFill="1" applyBorder="1" applyAlignment="1" applyProtection="1">
      <alignment horizontal="center" vertical="center"/>
    </xf>
    <xf numFmtId="9" fontId="9" fillId="0" borderId="17" xfId="1" applyFont="1" applyFill="1" applyBorder="1" applyAlignment="1" applyProtection="1">
      <alignment horizontal="center" vertical="center"/>
    </xf>
    <xf numFmtId="0" fontId="9" fillId="0" borderId="11" xfId="2" applyFont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9" fontId="6" fillId="2" borderId="0" xfId="1" applyFont="1" applyFill="1" applyBorder="1" applyAlignment="1" applyProtection="1">
      <alignment horizontal="center" vertical="center"/>
    </xf>
  </cellXfs>
  <cellStyles count="3">
    <cellStyle name="Normal" xfId="0" builtinId="0"/>
    <cellStyle name="Normal_1774 - Reposoir 2" xfId="2" xr:uid="{10C16B35-1CCA-4BC9-8E21-DB70013BA69D}"/>
    <cellStyle name="Pourcentage" xfId="1" builtinId="5"/>
  </cellStyles>
  <dxfs count="4">
    <dxf>
      <font>
        <color rgb="FFFF0000"/>
      </font>
      <fill>
        <patternFill>
          <bgColor theme="5" tint="0.79995117038483843"/>
        </patternFill>
      </fill>
    </dxf>
    <dxf>
      <fill>
        <patternFill>
          <bgColor rgb="FF00B0F0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199571</xdr:colOff>
      <xdr:row>0</xdr:row>
      <xdr:rowOff>154214</xdr:rowOff>
    </xdr:from>
    <xdr:to>
      <xdr:col>3</xdr:col>
      <xdr:colOff>316817</xdr:colOff>
      <xdr:row>3</xdr:row>
      <xdr:rowOff>51705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47B1D85-E833-4BB3-B182-C77CD15F0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571" y="154214"/>
          <a:ext cx="3328532" cy="57784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E450-07F1-4472-9A3F-0C67341428FD}">
  <dimension ref="A1:BL82"/>
  <sheetViews>
    <sheetView tabSelected="1" topLeftCell="H1" zoomScale="84" zoomScaleNormal="70" workbookViewId="0">
      <selection activeCell="D72" sqref="D72"/>
    </sheetView>
  </sheetViews>
  <sheetFormatPr baseColWidth="10" defaultRowHeight="14.5" outlineLevelRow="1" x14ac:dyDescent="0.35"/>
  <cols>
    <col min="1" max="1" width="12.7265625" customWidth="1"/>
    <col min="2" max="2" width="23.54296875" customWidth="1"/>
    <col min="3" max="4" width="9.7265625" customWidth="1"/>
    <col min="5" max="5" width="14.81640625" customWidth="1"/>
    <col min="6" max="6" width="9.54296875" customWidth="1"/>
    <col min="7" max="7" width="9.54296875" bestFit="1" customWidth="1"/>
    <col min="8" max="8" width="9.54296875" customWidth="1"/>
    <col min="9" max="9" width="9.54296875" bestFit="1" customWidth="1"/>
    <col min="10" max="10" width="5.08984375" customWidth="1"/>
    <col min="11" max="11" width="5" customWidth="1"/>
    <col min="12" max="14" width="4.81640625" customWidth="1"/>
    <col min="15" max="15" width="5.54296875" customWidth="1"/>
    <col min="16" max="16" width="9.08984375" customWidth="1"/>
    <col min="17" max="64" width="4.7265625" customWidth="1"/>
  </cols>
  <sheetData>
    <row r="1" spans="1:64" ht="18" x14ac:dyDescent="0.35">
      <c r="A1" s="54"/>
      <c r="B1" s="55"/>
      <c r="C1" s="55"/>
      <c r="D1" s="55"/>
      <c r="E1" s="54" t="s">
        <v>0</v>
      </c>
      <c r="F1" s="56"/>
      <c r="G1" s="57"/>
      <c r="H1" s="72" t="s">
        <v>42</v>
      </c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</row>
    <row r="2" spans="1:64" ht="18" x14ac:dyDescent="0.35">
      <c r="A2" s="58"/>
      <c r="B2" s="59"/>
      <c r="C2" s="55"/>
      <c r="D2" s="55"/>
      <c r="E2" s="58" t="s">
        <v>37</v>
      </c>
      <c r="F2" s="56"/>
      <c r="G2" s="57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64" ht="18" x14ac:dyDescent="0.35">
      <c r="A3" s="54"/>
      <c r="B3" s="55"/>
      <c r="C3" s="55"/>
      <c r="D3" s="54"/>
      <c r="E3" s="54" t="s">
        <v>1</v>
      </c>
      <c r="F3" s="56"/>
      <c r="G3" s="57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</row>
    <row r="4" spans="1:64" ht="18" x14ac:dyDescent="0.35">
      <c r="A4" s="54"/>
      <c r="B4" s="55"/>
      <c r="C4" s="55"/>
      <c r="D4" s="55"/>
      <c r="E4" s="60" t="s">
        <v>38</v>
      </c>
      <c r="F4" s="56"/>
      <c r="G4" s="57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</row>
    <row r="5" spans="1:64" x14ac:dyDescent="0.35">
      <c r="A5" s="1" t="s">
        <v>2</v>
      </c>
      <c r="B5" s="2">
        <v>9</v>
      </c>
      <c r="C5" s="2">
        <v>15</v>
      </c>
      <c r="D5" s="2">
        <v>0.95</v>
      </c>
      <c r="E5" s="2">
        <v>0.9</v>
      </c>
    </row>
    <row r="6" spans="1:64" x14ac:dyDescent="0.35">
      <c r="A6" s="73" t="s">
        <v>3</v>
      </c>
      <c r="B6" s="74"/>
      <c r="C6" s="74"/>
      <c r="D6" s="74"/>
      <c r="E6" s="74"/>
      <c r="F6" s="82" t="s">
        <v>4</v>
      </c>
      <c r="G6" s="83"/>
      <c r="H6" s="83"/>
      <c r="I6" s="84"/>
      <c r="J6" s="73" t="s">
        <v>5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</row>
    <row r="7" spans="1:64" x14ac:dyDescent="0.35">
      <c r="A7" s="3" t="s">
        <v>6</v>
      </c>
      <c r="B7" s="4" t="s">
        <v>7</v>
      </c>
      <c r="C7" s="5" t="s">
        <v>8</v>
      </c>
      <c r="D7" s="6" t="s">
        <v>9</v>
      </c>
      <c r="E7" s="7" t="s">
        <v>10</v>
      </c>
      <c r="F7" s="75" t="s">
        <v>11</v>
      </c>
      <c r="G7" s="76"/>
      <c r="H7" s="77" t="s">
        <v>12</v>
      </c>
      <c r="I7" s="78"/>
      <c r="J7" s="79" t="s">
        <v>13</v>
      </c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1"/>
      <c r="AE7" s="79" t="s">
        <v>14</v>
      </c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</row>
    <row r="8" spans="1:64" x14ac:dyDescent="0.35">
      <c r="A8" s="8"/>
      <c r="B8" s="9"/>
      <c r="C8" s="10" t="s">
        <v>15</v>
      </c>
      <c r="D8" s="11" t="s">
        <v>16</v>
      </c>
      <c r="E8" s="12" t="s">
        <v>17</v>
      </c>
      <c r="F8" s="88">
        <v>46022</v>
      </c>
      <c r="G8" s="89"/>
      <c r="H8" s="90">
        <v>46022</v>
      </c>
      <c r="I8" s="91"/>
      <c r="J8" s="79" t="s">
        <v>18</v>
      </c>
      <c r="K8" s="80"/>
      <c r="L8" s="80"/>
      <c r="M8" s="80"/>
      <c r="N8" s="80"/>
      <c r="O8" s="80"/>
      <c r="P8" s="79" t="s">
        <v>19</v>
      </c>
      <c r="Q8" s="80"/>
      <c r="R8" s="80"/>
      <c r="S8" s="80"/>
      <c r="T8" s="81"/>
      <c r="U8" s="79" t="s">
        <v>20</v>
      </c>
      <c r="V8" s="80"/>
      <c r="W8" s="80"/>
      <c r="X8" s="80"/>
      <c r="Y8" s="81"/>
      <c r="Z8" s="92" t="s">
        <v>21</v>
      </c>
      <c r="AA8" s="93"/>
      <c r="AB8" s="93"/>
      <c r="AC8" s="93"/>
      <c r="AD8" s="94"/>
      <c r="AE8" s="79" t="s">
        <v>22</v>
      </c>
      <c r="AF8" s="80"/>
      <c r="AG8" s="80"/>
      <c r="AH8" s="81"/>
      <c r="AI8" s="85" t="s">
        <v>47</v>
      </c>
      <c r="AJ8" s="86"/>
      <c r="AK8" s="86"/>
      <c r="AL8" s="86"/>
      <c r="AM8" s="81"/>
      <c r="AN8" s="85" t="s">
        <v>51</v>
      </c>
      <c r="AO8" s="86"/>
      <c r="AP8" s="86"/>
      <c r="AQ8" s="86"/>
      <c r="AR8" s="87"/>
      <c r="AS8" s="85" t="s">
        <v>52</v>
      </c>
      <c r="AT8" s="86"/>
      <c r="AU8" s="86"/>
      <c r="AV8" s="86"/>
      <c r="AW8" s="81"/>
      <c r="AX8" s="85" t="s">
        <v>53</v>
      </c>
      <c r="AY8" s="86"/>
      <c r="AZ8" s="86"/>
      <c r="BA8" s="86"/>
      <c r="BB8" s="81"/>
      <c r="BC8" s="85" t="s">
        <v>54</v>
      </c>
      <c r="BD8" s="86"/>
      <c r="BE8" s="86"/>
      <c r="BF8" s="86"/>
      <c r="BG8" s="81"/>
      <c r="BH8" s="85" t="s">
        <v>55</v>
      </c>
      <c r="BI8" s="86"/>
      <c r="BJ8" s="86"/>
      <c r="BK8" s="86"/>
      <c r="BL8" s="81"/>
    </row>
    <row r="9" spans="1:64" ht="95.5" x14ac:dyDescent="0.35">
      <c r="A9" s="13" t="s">
        <v>23</v>
      </c>
      <c r="B9" s="9" t="s">
        <v>23</v>
      </c>
      <c r="C9" s="14"/>
      <c r="D9" s="15" t="s">
        <v>23</v>
      </c>
      <c r="E9" s="15" t="s">
        <v>23</v>
      </c>
      <c r="F9" s="16" t="s">
        <v>24</v>
      </c>
      <c r="G9" s="17" t="s">
        <v>25</v>
      </c>
      <c r="H9" s="16" t="s">
        <v>24</v>
      </c>
      <c r="I9" s="17" t="s">
        <v>25</v>
      </c>
      <c r="J9" s="18" t="s">
        <v>26</v>
      </c>
      <c r="K9" s="66" t="s">
        <v>43</v>
      </c>
      <c r="L9" s="66" t="s">
        <v>27</v>
      </c>
      <c r="M9" s="66" t="s">
        <v>48</v>
      </c>
      <c r="N9" s="66" t="s">
        <v>50</v>
      </c>
      <c r="O9" s="66" t="s">
        <v>44</v>
      </c>
      <c r="P9" s="18" t="s">
        <v>28</v>
      </c>
      <c r="Q9" s="66" t="s">
        <v>45</v>
      </c>
      <c r="R9" s="66" t="s">
        <v>48</v>
      </c>
      <c r="S9" s="66" t="s">
        <v>50</v>
      </c>
      <c r="T9" s="18" t="s">
        <v>27</v>
      </c>
      <c r="U9" s="18" t="s">
        <v>28</v>
      </c>
      <c r="V9" s="66" t="s">
        <v>45</v>
      </c>
      <c r="W9" s="66" t="s">
        <v>48</v>
      </c>
      <c r="X9" s="66" t="s">
        <v>50</v>
      </c>
      <c r="Y9" s="18" t="s">
        <v>27</v>
      </c>
      <c r="Z9" s="18" t="s">
        <v>28</v>
      </c>
      <c r="AA9" s="66" t="s">
        <v>45</v>
      </c>
      <c r="AB9" s="66" t="s">
        <v>48</v>
      </c>
      <c r="AC9" s="66" t="s">
        <v>50</v>
      </c>
      <c r="AD9" s="18" t="s">
        <v>27</v>
      </c>
      <c r="AE9" s="19" t="s">
        <v>29</v>
      </c>
      <c r="AF9" s="67" t="s">
        <v>49</v>
      </c>
      <c r="AG9" s="67" t="s">
        <v>46</v>
      </c>
      <c r="AH9" s="18" t="s">
        <v>27</v>
      </c>
      <c r="AI9" s="19" t="s">
        <v>29</v>
      </c>
      <c r="AJ9" s="67" t="s">
        <v>46</v>
      </c>
      <c r="AK9" s="67" t="s">
        <v>48</v>
      </c>
      <c r="AL9" s="67" t="s">
        <v>50</v>
      </c>
      <c r="AM9" s="18" t="s">
        <v>27</v>
      </c>
      <c r="AN9" s="19" t="s">
        <v>29</v>
      </c>
      <c r="AO9" s="67" t="s">
        <v>46</v>
      </c>
      <c r="AP9" s="67" t="s">
        <v>48</v>
      </c>
      <c r="AQ9" s="67" t="s">
        <v>50</v>
      </c>
      <c r="AR9" s="18" t="s">
        <v>27</v>
      </c>
      <c r="AS9" s="19" t="s">
        <v>29</v>
      </c>
      <c r="AT9" s="67" t="s">
        <v>46</v>
      </c>
      <c r="AU9" s="67" t="s">
        <v>48</v>
      </c>
      <c r="AV9" s="67" t="s">
        <v>50</v>
      </c>
      <c r="AW9" s="18" t="s">
        <v>27</v>
      </c>
      <c r="AX9" s="19" t="s">
        <v>29</v>
      </c>
      <c r="AY9" s="67" t="s">
        <v>46</v>
      </c>
      <c r="AZ9" s="67" t="s">
        <v>48</v>
      </c>
      <c r="BA9" s="67" t="s">
        <v>50</v>
      </c>
      <c r="BB9" s="18" t="s">
        <v>27</v>
      </c>
      <c r="BC9" s="19" t="s">
        <v>29</v>
      </c>
      <c r="BD9" s="67" t="s">
        <v>46</v>
      </c>
      <c r="BE9" s="67" t="s">
        <v>48</v>
      </c>
      <c r="BF9" s="67" t="s">
        <v>50</v>
      </c>
      <c r="BG9" s="18" t="s">
        <v>27</v>
      </c>
      <c r="BH9" s="19" t="s">
        <v>29</v>
      </c>
      <c r="BI9" s="67" t="s">
        <v>46</v>
      </c>
      <c r="BJ9" s="67" t="s">
        <v>48</v>
      </c>
      <c r="BK9" s="67" t="s">
        <v>50</v>
      </c>
      <c r="BL9" s="18" t="s">
        <v>27</v>
      </c>
    </row>
    <row r="10" spans="1:64" x14ac:dyDescent="0.35">
      <c r="A10" s="20"/>
      <c r="B10" s="21"/>
      <c r="C10" s="22"/>
      <c r="D10" s="23"/>
      <c r="E10" s="24"/>
      <c r="F10" s="24"/>
      <c r="G10" s="24"/>
      <c r="H10" s="24"/>
      <c r="I10" s="24"/>
      <c r="J10" s="20"/>
      <c r="K10" s="20"/>
      <c r="L10" s="20"/>
      <c r="M10" s="20"/>
      <c r="N10" s="20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</row>
    <row r="11" spans="1:64" x14ac:dyDescent="0.35">
      <c r="A11" s="61" t="s">
        <v>39</v>
      </c>
      <c r="B11" s="62" t="s">
        <v>40</v>
      </c>
      <c r="C11" s="63" t="s">
        <v>41</v>
      </c>
      <c r="D11" s="64" t="s">
        <v>41</v>
      </c>
      <c r="E11" s="65" t="s">
        <v>41</v>
      </c>
      <c r="F11" s="25">
        <v>1215</v>
      </c>
      <c r="G11" s="26" t="e">
        <f t="shared" ref="G11:G42" si="0">IF(ISBLANK(D11), "", F11*12/D11)</f>
        <v>#VALUE!</v>
      </c>
      <c r="H11" s="25">
        <v>1950</v>
      </c>
      <c r="I11" s="27" t="e">
        <f t="shared" ref="I11:I42" si="1">IF(ISBLANK(D11),"",H11*12/D11)</f>
        <v>#VALUE!</v>
      </c>
      <c r="J11" s="28"/>
      <c r="K11" s="68"/>
      <c r="L11" s="68"/>
      <c r="M11" s="68"/>
      <c r="N11" s="68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</row>
    <row r="12" spans="1:64" x14ac:dyDescent="0.35">
      <c r="A12" s="61" t="s">
        <v>39</v>
      </c>
      <c r="B12" s="62" t="s">
        <v>40</v>
      </c>
      <c r="C12" s="63" t="s">
        <v>41</v>
      </c>
      <c r="D12" s="64" t="s">
        <v>41</v>
      </c>
      <c r="E12" s="65" t="s">
        <v>41</v>
      </c>
      <c r="F12" s="25">
        <v>707</v>
      </c>
      <c r="G12" s="26" t="e">
        <f t="shared" si="0"/>
        <v>#VALUE!</v>
      </c>
      <c r="H12" s="25">
        <v>1650</v>
      </c>
      <c r="I12" s="27" t="e">
        <f t="shared" si="1"/>
        <v>#VALUE!</v>
      </c>
      <c r="J12" s="68"/>
      <c r="K12" s="68"/>
      <c r="L12" s="68"/>
      <c r="M12" s="68"/>
      <c r="N12" s="68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70"/>
      <c r="AN12" s="70"/>
      <c r="AO12" s="70"/>
      <c r="AP12" s="70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</row>
    <row r="13" spans="1:64" x14ac:dyDescent="0.35">
      <c r="A13" s="61" t="s">
        <v>39</v>
      </c>
      <c r="B13" s="62" t="s">
        <v>40</v>
      </c>
      <c r="C13" s="63" t="s">
        <v>41</v>
      </c>
      <c r="D13" s="64" t="s">
        <v>41</v>
      </c>
      <c r="E13" s="65" t="s">
        <v>41</v>
      </c>
      <c r="F13" s="25">
        <v>1200</v>
      </c>
      <c r="G13" s="26" t="e">
        <f t="shared" si="0"/>
        <v>#VALUE!</v>
      </c>
      <c r="H13" s="25">
        <v>1250</v>
      </c>
      <c r="I13" s="27" t="e">
        <f t="shared" si="1"/>
        <v>#VALUE!</v>
      </c>
      <c r="J13" s="68"/>
      <c r="K13" s="68"/>
      <c r="L13" s="68"/>
      <c r="M13" s="68"/>
      <c r="N13" s="68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</row>
    <row r="14" spans="1:64" x14ac:dyDescent="0.35">
      <c r="A14" s="61" t="s">
        <v>39</v>
      </c>
      <c r="B14" s="62" t="s">
        <v>40</v>
      </c>
      <c r="C14" s="63" t="s">
        <v>41</v>
      </c>
      <c r="D14" s="64" t="s">
        <v>41</v>
      </c>
      <c r="E14" s="65" t="s">
        <v>41</v>
      </c>
      <c r="F14" s="25">
        <v>1230</v>
      </c>
      <c r="G14" s="26" t="e">
        <f t="shared" si="0"/>
        <v>#VALUE!</v>
      </c>
      <c r="H14" s="25">
        <v>1980</v>
      </c>
      <c r="I14" s="27" t="e">
        <f t="shared" si="1"/>
        <v>#VALUE!</v>
      </c>
      <c r="J14" s="68"/>
      <c r="K14" s="68"/>
      <c r="L14" s="68"/>
      <c r="M14" s="68"/>
      <c r="N14" s="68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71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</row>
    <row r="15" spans="1:64" x14ac:dyDescent="0.35">
      <c r="A15" s="61" t="s">
        <v>39</v>
      </c>
      <c r="B15" s="62" t="s">
        <v>40</v>
      </c>
      <c r="C15" s="63" t="s">
        <v>41</v>
      </c>
      <c r="D15" s="64" t="s">
        <v>41</v>
      </c>
      <c r="E15" s="65" t="s">
        <v>41</v>
      </c>
      <c r="F15" s="25">
        <v>760</v>
      </c>
      <c r="G15" s="26" t="e">
        <f t="shared" si="0"/>
        <v>#VALUE!</v>
      </c>
      <c r="H15" s="25">
        <v>1650</v>
      </c>
      <c r="I15" s="27" t="e">
        <f t="shared" si="1"/>
        <v>#VALUE!</v>
      </c>
      <c r="J15" s="68"/>
      <c r="K15" s="68"/>
      <c r="L15" s="68"/>
      <c r="M15" s="68"/>
      <c r="N15" s="68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</row>
    <row r="16" spans="1:64" x14ac:dyDescent="0.35">
      <c r="A16" s="61" t="s">
        <v>39</v>
      </c>
      <c r="B16" s="62" t="s">
        <v>40</v>
      </c>
      <c r="C16" s="63" t="s">
        <v>41</v>
      </c>
      <c r="D16" s="64" t="s">
        <v>41</v>
      </c>
      <c r="E16" s="65" t="s">
        <v>41</v>
      </c>
      <c r="F16" s="25">
        <v>839</v>
      </c>
      <c r="G16" s="26" t="e">
        <f t="shared" si="0"/>
        <v>#VALUE!</v>
      </c>
      <c r="H16" s="25">
        <v>1260</v>
      </c>
      <c r="I16" s="27" t="e">
        <f t="shared" si="1"/>
        <v>#VALUE!</v>
      </c>
      <c r="J16" s="68"/>
      <c r="K16" s="68"/>
      <c r="L16" s="68"/>
      <c r="M16" s="68"/>
      <c r="N16" s="68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</row>
    <row r="17" spans="1:64" x14ac:dyDescent="0.35">
      <c r="A17" s="61" t="s">
        <v>39</v>
      </c>
      <c r="B17" s="62" t="s">
        <v>40</v>
      </c>
      <c r="C17" s="63" t="s">
        <v>41</v>
      </c>
      <c r="D17" s="64" t="s">
        <v>41</v>
      </c>
      <c r="E17" s="65" t="s">
        <v>41</v>
      </c>
      <c r="F17" s="25">
        <v>1467.15</v>
      </c>
      <c r="G17" s="26" t="e">
        <f t="shared" si="0"/>
        <v>#VALUE!</v>
      </c>
      <c r="H17" s="25">
        <v>2000</v>
      </c>
      <c r="I17" s="27" t="e">
        <f t="shared" si="1"/>
        <v>#VALUE!</v>
      </c>
      <c r="J17" s="68"/>
      <c r="K17" s="68"/>
      <c r="L17" s="68"/>
      <c r="M17" s="68"/>
      <c r="N17" s="68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</row>
    <row r="18" spans="1:64" x14ac:dyDescent="0.35">
      <c r="A18" s="61" t="s">
        <v>39</v>
      </c>
      <c r="B18" s="62" t="s">
        <v>40</v>
      </c>
      <c r="C18" s="63" t="s">
        <v>41</v>
      </c>
      <c r="D18" s="64" t="s">
        <v>41</v>
      </c>
      <c r="E18" s="65" t="s">
        <v>41</v>
      </c>
      <c r="F18" s="25">
        <v>1500</v>
      </c>
      <c r="G18" s="26" t="e">
        <f t="shared" si="0"/>
        <v>#VALUE!</v>
      </c>
      <c r="H18" s="25">
        <v>1650</v>
      </c>
      <c r="I18" s="27" t="e">
        <f t="shared" si="1"/>
        <v>#VALUE!</v>
      </c>
      <c r="J18" s="68"/>
      <c r="K18" s="68"/>
      <c r="L18" s="68"/>
      <c r="M18" s="68"/>
      <c r="N18" s="68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</row>
    <row r="19" spans="1:64" x14ac:dyDescent="0.35">
      <c r="A19" s="61" t="s">
        <v>39</v>
      </c>
      <c r="B19" s="62" t="s">
        <v>40</v>
      </c>
      <c r="C19" s="63" t="s">
        <v>41</v>
      </c>
      <c r="D19" s="64" t="s">
        <v>41</v>
      </c>
      <c r="E19" s="65" t="s">
        <v>41</v>
      </c>
      <c r="F19" s="25">
        <v>1120</v>
      </c>
      <c r="G19" s="26" t="e">
        <f t="shared" si="0"/>
        <v>#VALUE!</v>
      </c>
      <c r="H19" s="25">
        <v>1270</v>
      </c>
      <c r="I19" s="27" t="e">
        <f t="shared" si="1"/>
        <v>#VALUE!</v>
      </c>
      <c r="J19" s="68"/>
      <c r="K19" s="68"/>
      <c r="L19" s="68"/>
      <c r="M19" s="68"/>
      <c r="N19" s="68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</row>
    <row r="20" spans="1:64" x14ac:dyDescent="0.35">
      <c r="A20" s="61" t="s">
        <v>39</v>
      </c>
      <c r="B20" s="62" t="s">
        <v>40</v>
      </c>
      <c r="C20" s="63" t="s">
        <v>41</v>
      </c>
      <c r="D20" s="64" t="s">
        <v>41</v>
      </c>
      <c r="E20" s="65" t="s">
        <v>41</v>
      </c>
      <c r="F20" s="25">
        <v>1185</v>
      </c>
      <c r="G20" s="26" t="e">
        <f t="shared" si="0"/>
        <v>#VALUE!</v>
      </c>
      <c r="H20" s="25">
        <v>2020</v>
      </c>
      <c r="I20" s="27" t="e">
        <f t="shared" si="1"/>
        <v>#VALUE!</v>
      </c>
      <c r="J20" s="68"/>
      <c r="K20" s="68"/>
      <c r="L20" s="68"/>
      <c r="M20" s="68"/>
      <c r="N20" s="68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</row>
    <row r="21" spans="1:64" x14ac:dyDescent="0.35">
      <c r="A21" s="61" t="s">
        <v>39</v>
      </c>
      <c r="B21" s="62" t="s">
        <v>40</v>
      </c>
      <c r="C21" s="63" t="s">
        <v>41</v>
      </c>
      <c r="D21" s="64" t="s">
        <v>41</v>
      </c>
      <c r="E21" s="65" t="s">
        <v>41</v>
      </c>
      <c r="F21" s="25">
        <v>1200</v>
      </c>
      <c r="G21" s="26" t="e">
        <f t="shared" si="0"/>
        <v>#VALUE!</v>
      </c>
      <c r="H21" s="25">
        <v>1650</v>
      </c>
      <c r="I21" s="27" t="e">
        <f t="shared" si="1"/>
        <v>#VALUE!</v>
      </c>
      <c r="J21" s="68"/>
      <c r="K21" s="68"/>
      <c r="L21" s="68"/>
      <c r="M21" s="68"/>
      <c r="N21" s="68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</row>
    <row r="22" spans="1:64" x14ac:dyDescent="0.35">
      <c r="A22" s="61" t="s">
        <v>39</v>
      </c>
      <c r="B22" s="62" t="s">
        <v>40</v>
      </c>
      <c r="C22" s="63" t="s">
        <v>41</v>
      </c>
      <c r="D22" s="64" t="s">
        <v>41</v>
      </c>
      <c r="E22" s="65" t="s">
        <v>41</v>
      </c>
      <c r="F22" s="25">
        <v>1200</v>
      </c>
      <c r="G22" s="26" t="e">
        <f t="shared" si="0"/>
        <v>#VALUE!</v>
      </c>
      <c r="H22" s="25">
        <v>1280</v>
      </c>
      <c r="I22" s="27" t="e">
        <f t="shared" si="1"/>
        <v>#VALUE!</v>
      </c>
      <c r="J22" s="68"/>
      <c r="K22" s="68"/>
      <c r="L22" s="68"/>
      <c r="M22" s="68"/>
      <c r="N22" s="68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</row>
    <row r="23" spans="1:64" x14ac:dyDescent="0.35">
      <c r="A23" s="61" t="s">
        <v>39</v>
      </c>
      <c r="B23" s="62" t="s">
        <v>40</v>
      </c>
      <c r="C23" s="63" t="s">
        <v>41</v>
      </c>
      <c r="D23" s="64" t="s">
        <v>41</v>
      </c>
      <c r="E23" s="65" t="s">
        <v>41</v>
      </c>
      <c r="F23" s="25">
        <v>1150</v>
      </c>
      <c r="G23" s="26" t="e">
        <f t="shared" si="0"/>
        <v>#VALUE!</v>
      </c>
      <c r="H23" s="25">
        <v>1500</v>
      </c>
      <c r="I23" s="27" t="e">
        <f t="shared" si="1"/>
        <v>#VALUE!</v>
      </c>
      <c r="J23" s="68"/>
      <c r="K23" s="68"/>
      <c r="L23" s="68"/>
      <c r="M23" s="68"/>
      <c r="N23" s="68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</row>
    <row r="24" spans="1:64" x14ac:dyDescent="0.35">
      <c r="A24" s="61" t="s">
        <v>39</v>
      </c>
      <c r="B24" s="62" t="s">
        <v>40</v>
      </c>
      <c r="C24" s="63" t="s">
        <v>41</v>
      </c>
      <c r="D24" s="64" t="s">
        <v>41</v>
      </c>
      <c r="E24" s="65" t="s">
        <v>41</v>
      </c>
      <c r="F24" s="25">
        <v>899.8</v>
      </c>
      <c r="G24" s="26" t="e">
        <f t="shared" si="0"/>
        <v>#VALUE!</v>
      </c>
      <c r="H24" s="25">
        <v>1650</v>
      </c>
      <c r="I24" s="27" t="e">
        <f t="shared" si="1"/>
        <v>#VALUE!</v>
      </c>
      <c r="J24" s="68"/>
      <c r="K24" s="68"/>
      <c r="L24" s="68"/>
      <c r="M24" s="68"/>
      <c r="N24" s="68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</row>
    <row r="25" spans="1:64" x14ac:dyDescent="0.35">
      <c r="A25" s="61" t="s">
        <v>39</v>
      </c>
      <c r="B25" s="62" t="s">
        <v>40</v>
      </c>
      <c r="C25" s="63" t="s">
        <v>41</v>
      </c>
      <c r="D25" s="64" t="s">
        <v>41</v>
      </c>
      <c r="E25" s="65" t="s">
        <v>41</v>
      </c>
      <c r="F25" s="25">
        <v>1300</v>
      </c>
      <c r="G25" s="26" t="e">
        <f t="shared" si="0"/>
        <v>#VALUE!</v>
      </c>
      <c r="H25" s="25">
        <v>1950</v>
      </c>
      <c r="I25" s="27" t="e">
        <f t="shared" si="1"/>
        <v>#VALUE!</v>
      </c>
      <c r="J25" s="68"/>
      <c r="K25" s="68"/>
      <c r="L25" s="68"/>
      <c r="M25" s="68"/>
      <c r="N25" s="68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</row>
    <row r="26" spans="1:64" x14ac:dyDescent="0.35">
      <c r="A26" s="61" t="s">
        <v>39</v>
      </c>
      <c r="B26" s="62" t="s">
        <v>40</v>
      </c>
      <c r="C26" s="63" t="s">
        <v>41</v>
      </c>
      <c r="D26" s="64" t="s">
        <v>41</v>
      </c>
      <c r="E26" s="65" t="s">
        <v>41</v>
      </c>
      <c r="F26" s="25">
        <v>1290</v>
      </c>
      <c r="G26" s="26" t="e">
        <f t="shared" si="0"/>
        <v>#VALUE!</v>
      </c>
      <c r="H26" s="25">
        <v>1250</v>
      </c>
      <c r="I26" s="27" t="e">
        <f t="shared" si="1"/>
        <v>#VALUE!</v>
      </c>
      <c r="J26" s="68"/>
      <c r="K26" s="68"/>
      <c r="L26" s="68"/>
      <c r="M26" s="68"/>
      <c r="N26" s="68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</row>
    <row r="27" spans="1:64" x14ac:dyDescent="0.35">
      <c r="A27" s="61" t="s">
        <v>39</v>
      </c>
      <c r="B27" s="62" t="s">
        <v>40</v>
      </c>
      <c r="C27" s="63" t="s">
        <v>41</v>
      </c>
      <c r="D27" s="64" t="s">
        <v>41</v>
      </c>
      <c r="E27" s="65" t="s">
        <v>41</v>
      </c>
      <c r="F27" s="25">
        <v>1634.35</v>
      </c>
      <c r="G27" s="26" t="e">
        <f t="shared" si="0"/>
        <v>#VALUE!</v>
      </c>
      <c r="H27" s="25">
        <v>1650</v>
      </c>
      <c r="I27" s="27" t="e">
        <f t="shared" si="1"/>
        <v>#VALUE!</v>
      </c>
      <c r="J27" s="68"/>
      <c r="K27" s="68"/>
      <c r="L27" s="68"/>
      <c r="M27" s="68"/>
      <c r="N27" s="68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</row>
    <row r="28" spans="1:64" x14ac:dyDescent="0.35">
      <c r="A28" s="61" t="s">
        <v>39</v>
      </c>
      <c r="B28" s="62" t="s">
        <v>40</v>
      </c>
      <c r="C28" s="63" t="s">
        <v>41</v>
      </c>
      <c r="D28" s="64" t="s">
        <v>41</v>
      </c>
      <c r="E28" s="65" t="s">
        <v>41</v>
      </c>
      <c r="F28" s="25">
        <v>980</v>
      </c>
      <c r="G28" s="26" t="e">
        <f t="shared" si="0"/>
        <v>#VALUE!</v>
      </c>
      <c r="H28" s="25">
        <v>1980</v>
      </c>
      <c r="I28" s="27" t="e">
        <f t="shared" si="1"/>
        <v>#VALUE!</v>
      </c>
      <c r="J28" s="68"/>
      <c r="K28" s="68"/>
      <c r="L28" s="68"/>
      <c r="M28" s="68"/>
      <c r="N28" s="68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</row>
    <row r="29" spans="1:64" x14ac:dyDescent="0.35">
      <c r="A29" s="61" t="s">
        <v>39</v>
      </c>
      <c r="B29" s="62" t="s">
        <v>40</v>
      </c>
      <c r="C29" s="63" t="s">
        <v>41</v>
      </c>
      <c r="D29" s="64" t="s">
        <v>41</v>
      </c>
      <c r="E29" s="65" t="s">
        <v>41</v>
      </c>
      <c r="F29" s="25">
        <v>1259.0999999999999</v>
      </c>
      <c r="G29" s="26" t="e">
        <f t="shared" si="0"/>
        <v>#VALUE!</v>
      </c>
      <c r="H29" s="25">
        <v>1260</v>
      </c>
      <c r="I29" s="27" t="e">
        <f t="shared" si="1"/>
        <v>#VALUE!</v>
      </c>
      <c r="J29" s="68"/>
      <c r="K29" s="68"/>
      <c r="L29" s="68"/>
      <c r="M29" s="68"/>
      <c r="N29" s="68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</row>
    <row r="30" spans="1:64" x14ac:dyDescent="0.35">
      <c r="A30" s="61" t="s">
        <v>39</v>
      </c>
      <c r="B30" s="62" t="s">
        <v>40</v>
      </c>
      <c r="C30" s="63" t="s">
        <v>41</v>
      </c>
      <c r="D30" s="64" t="s">
        <v>41</v>
      </c>
      <c r="E30" s="65" t="s">
        <v>41</v>
      </c>
      <c r="F30" s="25">
        <v>710</v>
      </c>
      <c r="G30" s="26" t="e">
        <f t="shared" si="0"/>
        <v>#VALUE!</v>
      </c>
      <c r="H30" s="25">
        <v>1650</v>
      </c>
      <c r="I30" s="27" t="e">
        <f t="shared" si="1"/>
        <v>#VALUE!</v>
      </c>
      <c r="J30" s="68"/>
      <c r="K30" s="68"/>
      <c r="L30" s="68"/>
      <c r="M30" s="68"/>
      <c r="N30" s="68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</row>
    <row r="31" spans="1:64" x14ac:dyDescent="0.35">
      <c r="A31" s="61" t="s">
        <v>39</v>
      </c>
      <c r="B31" s="62" t="s">
        <v>40</v>
      </c>
      <c r="C31" s="63" t="s">
        <v>41</v>
      </c>
      <c r="D31" s="64" t="s">
        <v>41</v>
      </c>
      <c r="E31" s="65" t="s">
        <v>41</v>
      </c>
      <c r="F31" s="25">
        <v>1950</v>
      </c>
      <c r="G31" s="26" t="e">
        <f t="shared" si="0"/>
        <v>#VALUE!</v>
      </c>
      <c r="H31" s="25">
        <v>2000</v>
      </c>
      <c r="I31" s="27" t="e">
        <f t="shared" si="1"/>
        <v>#VALUE!</v>
      </c>
      <c r="J31" s="68"/>
      <c r="K31" s="68"/>
      <c r="L31" s="68"/>
      <c r="M31" s="68"/>
      <c r="N31" s="68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</row>
    <row r="32" spans="1:64" x14ac:dyDescent="0.35">
      <c r="A32" s="61" t="s">
        <v>39</v>
      </c>
      <c r="B32" s="62" t="s">
        <v>40</v>
      </c>
      <c r="C32" s="63" t="s">
        <v>41</v>
      </c>
      <c r="D32" s="64" t="s">
        <v>41</v>
      </c>
      <c r="E32" s="65" t="s">
        <v>41</v>
      </c>
      <c r="F32" s="25">
        <v>1200</v>
      </c>
      <c r="G32" s="26" t="e">
        <f t="shared" si="0"/>
        <v>#VALUE!</v>
      </c>
      <c r="H32" s="25">
        <v>1270</v>
      </c>
      <c r="I32" s="27" t="e">
        <f t="shared" si="1"/>
        <v>#VALUE!</v>
      </c>
      <c r="J32" s="68"/>
      <c r="K32" s="68"/>
      <c r="L32" s="68"/>
      <c r="M32" s="68"/>
      <c r="N32" s="68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</row>
    <row r="33" spans="1:64" x14ac:dyDescent="0.35">
      <c r="A33" s="61" t="s">
        <v>39</v>
      </c>
      <c r="B33" s="62" t="s">
        <v>40</v>
      </c>
      <c r="C33" s="63" t="s">
        <v>41</v>
      </c>
      <c r="D33" s="64" t="s">
        <v>41</v>
      </c>
      <c r="E33" s="65" t="s">
        <v>41</v>
      </c>
      <c r="F33" s="25">
        <v>903</v>
      </c>
      <c r="G33" s="26" t="e">
        <f t="shared" si="0"/>
        <v>#VALUE!</v>
      </c>
      <c r="H33" s="25">
        <v>1650</v>
      </c>
      <c r="I33" s="27" t="e">
        <f t="shared" si="1"/>
        <v>#VALUE!</v>
      </c>
      <c r="J33" s="68"/>
      <c r="K33" s="68"/>
      <c r="L33" s="68"/>
      <c r="M33" s="68"/>
      <c r="N33" s="68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</row>
    <row r="34" spans="1:64" x14ac:dyDescent="0.35">
      <c r="A34" s="61" t="s">
        <v>39</v>
      </c>
      <c r="B34" s="62" t="s">
        <v>40</v>
      </c>
      <c r="C34" s="63" t="s">
        <v>41</v>
      </c>
      <c r="D34" s="64" t="s">
        <v>41</v>
      </c>
      <c r="E34" s="65" t="s">
        <v>41</v>
      </c>
      <c r="F34" s="25">
        <v>935</v>
      </c>
      <c r="G34" s="26" t="e">
        <f t="shared" si="0"/>
        <v>#VALUE!</v>
      </c>
      <c r="H34" s="25">
        <v>2020</v>
      </c>
      <c r="I34" s="27" t="e">
        <f t="shared" si="1"/>
        <v>#VALUE!</v>
      </c>
      <c r="J34" s="68"/>
      <c r="K34" s="68"/>
      <c r="L34" s="68"/>
      <c r="M34" s="68"/>
      <c r="N34" s="68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</row>
    <row r="35" spans="1:64" x14ac:dyDescent="0.35">
      <c r="A35" s="61" t="s">
        <v>39</v>
      </c>
      <c r="B35" s="62" t="s">
        <v>40</v>
      </c>
      <c r="C35" s="63" t="s">
        <v>41</v>
      </c>
      <c r="D35" s="64" t="s">
        <v>41</v>
      </c>
      <c r="E35" s="65" t="s">
        <v>41</v>
      </c>
      <c r="F35" s="25">
        <v>990</v>
      </c>
      <c r="G35" s="26" t="e">
        <f t="shared" si="0"/>
        <v>#VALUE!</v>
      </c>
      <c r="H35" s="25">
        <v>1270</v>
      </c>
      <c r="I35" s="27" t="e">
        <f t="shared" si="1"/>
        <v>#VALUE!</v>
      </c>
      <c r="J35" s="68"/>
      <c r="K35" s="68"/>
      <c r="L35" s="68"/>
      <c r="M35" s="68"/>
      <c r="N35" s="68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</row>
    <row r="36" spans="1:64" x14ac:dyDescent="0.35">
      <c r="A36" s="61" t="s">
        <v>39</v>
      </c>
      <c r="B36" s="62" t="s">
        <v>40</v>
      </c>
      <c r="C36" s="63" t="s">
        <v>41</v>
      </c>
      <c r="D36" s="64" t="s">
        <v>41</v>
      </c>
      <c r="E36" s="65" t="s">
        <v>41</v>
      </c>
      <c r="F36" s="25"/>
      <c r="G36" s="26" t="e">
        <f t="shared" si="0"/>
        <v>#VALUE!</v>
      </c>
      <c r="H36" s="25"/>
      <c r="I36" s="27" t="e">
        <f t="shared" si="1"/>
        <v>#VALUE!</v>
      </c>
      <c r="J36" s="68"/>
      <c r="K36" s="68"/>
      <c r="L36" s="68"/>
      <c r="M36" s="68"/>
      <c r="N36" s="68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</row>
    <row r="37" spans="1:64" x14ac:dyDescent="0.35">
      <c r="A37" s="61" t="s">
        <v>39</v>
      </c>
      <c r="B37" s="62" t="s">
        <v>40</v>
      </c>
      <c r="C37" s="63" t="s">
        <v>41</v>
      </c>
      <c r="D37" s="64" t="s">
        <v>41</v>
      </c>
      <c r="E37" s="65" t="s">
        <v>41</v>
      </c>
      <c r="F37" s="25">
        <v>130</v>
      </c>
      <c r="G37" s="26" t="e">
        <f t="shared" si="0"/>
        <v>#VALUE!</v>
      </c>
      <c r="H37" s="25">
        <v>150</v>
      </c>
      <c r="I37" s="27" t="e">
        <f t="shared" si="1"/>
        <v>#VALUE!</v>
      </c>
      <c r="J37" s="68"/>
      <c r="K37" s="68"/>
      <c r="L37" s="68"/>
      <c r="M37" s="68"/>
      <c r="N37" s="68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</row>
    <row r="38" spans="1:64" x14ac:dyDescent="0.35">
      <c r="A38" s="61" t="s">
        <v>39</v>
      </c>
      <c r="B38" s="62" t="s">
        <v>40</v>
      </c>
      <c r="C38" s="63" t="s">
        <v>41</v>
      </c>
      <c r="D38" s="64" t="s">
        <v>41</v>
      </c>
      <c r="E38" s="65" t="s">
        <v>41</v>
      </c>
      <c r="F38" s="25">
        <v>105</v>
      </c>
      <c r="G38" s="26" t="e">
        <f t="shared" si="0"/>
        <v>#VALUE!</v>
      </c>
      <c r="H38" s="25">
        <v>150</v>
      </c>
      <c r="I38" s="27" t="e">
        <f t="shared" si="1"/>
        <v>#VALUE!</v>
      </c>
      <c r="J38" s="68"/>
      <c r="K38" s="68"/>
      <c r="L38" s="68"/>
      <c r="M38" s="68"/>
      <c r="N38" s="68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</row>
    <row r="39" spans="1:64" x14ac:dyDescent="0.35">
      <c r="A39" s="61" t="s">
        <v>39</v>
      </c>
      <c r="B39" s="62" t="s">
        <v>40</v>
      </c>
      <c r="C39" s="63" t="s">
        <v>41</v>
      </c>
      <c r="D39" s="64" t="s">
        <v>41</v>
      </c>
      <c r="E39" s="65" t="s">
        <v>41</v>
      </c>
      <c r="F39" s="25">
        <v>117</v>
      </c>
      <c r="G39" s="26" t="e">
        <f t="shared" si="0"/>
        <v>#VALUE!</v>
      </c>
      <c r="H39" s="25">
        <v>150</v>
      </c>
      <c r="I39" s="27" t="e">
        <f t="shared" si="1"/>
        <v>#VALUE!</v>
      </c>
      <c r="J39" s="68"/>
      <c r="K39" s="68"/>
      <c r="L39" s="68"/>
      <c r="M39" s="68"/>
      <c r="N39" s="68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</row>
    <row r="40" spans="1:64" x14ac:dyDescent="0.35">
      <c r="A40" s="61" t="s">
        <v>39</v>
      </c>
      <c r="B40" s="62" t="s">
        <v>40</v>
      </c>
      <c r="C40" s="63" t="s">
        <v>41</v>
      </c>
      <c r="D40" s="64" t="s">
        <v>41</v>
      </c>
      <c r="E40" s="65" t="s">
        <v>41</v>
      </c>
      <c r="F40" s="25">
        <v>150</v>
      </c>
      <c r="G40" s="26" t="e">
        <f t="shared" si="0"/>
        <v>#VALUE!</v>
      </c>
      <c r="H40" s="25">
        <v>150</v>
      </c>
      <c r="I40" s="27" t="e">
        <f t="shared" si="1"/>
        <v>#VALUE!</v>
      </c>
      <c r="J40" s="68"/>
      <c r="K40" s="68"/>
      <c r="L40" s="68"/>
      <c r="M40" s="68"/>
      <c r="N40" s="68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</row>
    <row r="41" spans="1:64" x14ac:dyDescent="0.35">
      <c r="A41" s="61" t="s">
        <v>39</v>
      </c>
      <c r="B41" s="62" t="s">
        <v>40</v>
      </c>
      <c r="C41" s="63" t="s">
        <v>41</v>
      </c>
      <c r="D41" s="64" t="s">
        <v>41</v>
      </c>
      <c r="E41" s="65" t="s">
        <v>41</v>
      </c>
      <c r="F41" s="25">
        <v>150</v>
      </c>
      <c r="G41" s="26" t="e">
        <f t="shared" si="0"/>
        <v>#VALUE!</v>
      </c>
      <c r="H41" s="25">
        <v>150</v>
      </c>
      <c r="I41" s="27" t="e">
        <f t="shared" si="1"/>
        <v>#VALUE!</v>
      </c>
      <c r="J41" s="68"/>
      <c r="K41" s="68"/>
      <c r="L41" s="68"/>
      <c r="M41" s="68"/>
      <c r="N41" s="68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</row>
    <row r="42" spans="1:64" x14ac:dyDescent="0.35">
      <c r="A42" s="61" t="s">
        <v>39</v>
      </c>
      <c r="B42" s="62" t="s">
        <v>40</v>
      </c>
      <c r="C42" s="63" t="s">
        <v>41</v>
      </c>
      <c r="D42" s="64" t="s">
        <v>41</v>
      </c>
      <c r="E42" s="65" t="s">
        <v>41</v>
      </c>
      <c r="F42" s="25">
        <v>117</v>
      </c>
      <c r="G42" s="26" t="e">
        <f t="shared" si="0"/>
        <v>#VALUE!</v>
      </c>
      <c r="H42" s="25">
        <v>150</v>
      </c>
      <c r="I42" s="27" t="e">
        <f t="shared" si="1"/>
        <v>#VALUE!</v>
      </c>
      <c r="J42" s="68"/>
      <c r="K42" s="68"/>
      <c r="L42" s="68"/>
      <c r="M42" s="68"/>
      <c r="N42" s="68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</row>
    <row r="43" spans="1:64" x14ac:dyDescent="0.35">
      <c r="A43" s="61" t="s">
        <v>39</v>
      </c>
      <c r="B43" s="62" t="s">
        <v>40</v>
      </c>
      <c r="C43" s="63" t="s">
        <v>41</v>
      </c>
      <c r="D43" s="64" t="s">
        <v>41</v>
      </c>
      <c r="E43" s="65" t="s">
        <v>41</v>
      </c>
      <c r="F43" s="25">
        <v>150</v>
      </c>
      <c r="G43" s="26" t="e">
        <f t="shared" ref="G43:G69" si="2">IF(ISBLANK(D43), "", F43*12/D43)</f>
        <v>#VALUE!</v>
      </c>
      <c r="H43" s="25">
        <v>150</v>
      </c>
      <c r="I43" s="27" t="e">
        <f t="shared" ref="I43:I69" si="3">IF(ISBLANK(D43),"",H43*12/D43)</f>
        <v>#VALUE!</v>
      </c>
      <c r="J43" s="68"/>
      <c r="K43" s="68"/>
      <c r="L43" s="68"/>
      <c r="M43" s="68"/>
      <c r="N43" s="68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</row>
    <row r="44" spans="1:64" x14ac:dyDescent="0.35">
      <c r="A44" s="61" t="s">
        <v>39</v>
      </c>
      <c r="B44" s="62" t="s">
        <v>40</v>
      </c>
      <c r="C44" s="63" t="s">
        <v>41</v>
      </c>
      <c r="D44" s="64" t="s">
        <v>41</v>
      </c>
      <c r="E44" s="65" t="s">
        <v>41</v>
      </c>
      <c r="F44" s="25">
        <v>50</v>
      </c>
      <c r="G44" s="26" t="e">
        <f t="shared" si="2"/>
        <v>#VALUE!</v>
      </c>
      <c r="H44" s="25">
        <v>60</v>
      </c>
      <c r="I44" s="27" t="e">
        <f t="shared" si="3"/>
        <v>#VALUE!</v>
      </c>
      <c r="J44" s="68"/>
      <c r="K44" s="68"/>
      <c r="L44" s="68"/>
      <c r="M44" s="68"/>
      <c r="N44" s="68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</row>
    <row r="45" spans="1:64" x14ac:dyDescent="0.35">
      <c r="A45" s="61" t="s">
        <v>39</v>
      </c>
      <c r="B45" s="62" t="s">
        <v>40</v>
      </c>
      <c r="C45" s="63" t="s">
        <v>41</v>
      </c>
      <c r="D45" s="64" t="s">
        <v>41</v>
      </c>
      <c r="E45" s="65" t="s">
        <v>41</v>
      </c>
      <c r="F45" s="25">
        <v>60</v>
      </c>
      <c r="G45" s="26" t="e">
        <f t="shared" si="2"/>
        <v>#VALUE!</v>
      </c>
      <c r="H45" s="25">
        <v>60</v>
      </c>
      <c r="I45" s="27" t="e">
        <f t="shared" si="3"/>
        <v>#VALUE!</v>
      </c>
      <c r="J45" s="68"/>
      <c r="K45" s="68"/>
      <c r="L45" s="68"/>
      <c r="M45" s="68"/>
      <c r="N45" s="68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</row>
    <row r="46" spans="1:64" x14ac:dyDescent="0.35">
      <c r="A46" s="61" t="s">
        <v>39</v>
      </c>
      <c r="B46" s="62" t="s">
        <v>40</v>
      </c>
      <c r="C46" s="63" t="s">
        <v>41</v>
      </c>
      <c r="D46" s="64" t="s">
        <v>41</v>
      </c>
      <c r="E46" s="65" t="s">
        <v>41</v>
      </c>
      <c r="F46" s="25">
        <v>50</v>
      </c>
      <c r="G46" s="26" t="e">
        <f t="shared" si="2"/>
        <v>#VALUE!</v>
      </c>
      <c r="H46" s="25">
        <v>60</v>
      </c>
      <c r="I46" s="27" t="e">
        <f t="shared" si="3"/>
        <v>#VALUE!</v>
      </c>
      <c r="J46" s="68"/>
      <c r="K46" s="68"/>
      <c r="L46" s="68"/>
      <c r="M46" s="68"/>
      <c r="N46" s="68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</row>
    <row r="47" spans="1:64" x14ac:dyDescent="0.35">
      <c r="A47" s="61" t="s">
        <v>39</v>
      </c>
      <c r="B47" s="62" t="s">
        <v>40</v>
      </c>
      <c r="C47" s="63" t="s">
        <v>41</v>
      </c>
      <c r="D47" s="64" t="s">
        <v>41</v>
      </c>
      <c r="E47" s="65" t="s">
        <v>41</v>
      </c>
      <c r="F47" s="25">
        <v>60</v>
      </c>
      <c r="G47" s="26" t="e">
        <f t="shared" si="2"/>
        <v>#VALUE!</v>
      </c>
      <c r="H47" s="25">
        <v>60</v>
      </c>
      <c r="I47" s="27" t="e">
        <f t="shared" si="3"/>
        <v>#VALUE!</v>
      </c>
      <c r="J47" s="68"/>
      <c r="K47" s="68"/>
      <c r="L47" s="68"/>
      <c r="M47" s="68"/>
      <c r="N47" s="68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</row>
    <row r="48" spans="1:64" x14ac:dyDescent="0.35">
      <c r="A48" s="61" t="s">
        <v>39</v>
      </c>
      <c r="B48" s="62" t="s">
        <v>40</v>
      </c>
      <c r="C48" s="63" t="s">
        <v>41</v>
      </c>
      <c r="D48" s="64" t="s">
        <v>41</v>
      </c>
      <c r="E48" s="65" t="s">
        <v>41</v>
      </c>
      <c r="F48" s="25">
        <v>60</v>
      </c>
      <c r="G48" s="26" t="e">
        <f t="shared" si="2"/>
        <v>#VALUE!</v>
      </c>
      <c r="H48" s="25">
        <v>60</v>
      </c>
      <c r="I48" s="27" t="e">
        <f t="shared" si="3"/>
        <v>#VALUE!</v>
      </c>
      <c r="J48" s="68"/>
      <c r="K48" s="68"/>
      <c r="L48" s="68"/>
      <c r="M48" s="68"/>
      <c r="N48" s="68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</row>
    <row r="49" spans="1:64" x14ac:dyDescent="0.35">
      <c r="A49" s="61" t="s">
        <v>39</v>
      </c>
      <c r="B49" s="62" t="s">
        <v>40</v>
      </c>
      <c r="C49" s="63" t="s">
        <v>41</v>
      </c>
      <c r="D49" s="64" t="s">
        <v>41</v>
      </c>
      <c r="E49" s="65" t="s">
        <v>41</v>
      </c>
      <c r="F49" s="25">
        <v>50</v>
      </c>
      <c r="G49" s="26" t="e">
        <f t="shared" si="2"/>
        <v>#VALUE!</v>
      </c>
      <c r="H49" s="25">
        <v>60</v>
      </c>
      <c r="I49" s="27" t="e">
        <f t="shared" si="3"/>
        <v>#VALUE!</v>
      </c>
      <c r="J49" s="68"/>
      <c r="K49" s="68"/>
      <c r="L49" s="68"/>
      <c r="M49" s="68"/>
      <c r="N49" s="68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</row>
    <row r="50" spans="1:64" x14ac:dyDescent="0.35">
      <c r="A50" s="61" t="s">
        <v>39</v>
      </c>
      <c r="B50" s="62" t="s">
        <v>40</v>
      </c>
      <c r="C50" s="63" t="s">
        <v>41</v>
      </c>
      <c r="D50" s="64" t="s">
        <v>41</v>
      </c>
      <c r="E50" s="65" t="s">
        <v>41</v>
      </c>
      <c r="F50" s="25">
        <v>60</v>
      </c>
      <c r="G50" s="26" t="e">
        <f t="shared" si="2"/>
        <v>#VALUE!</v>
      </c>
      <c r="H50" s="25">
        <v>60</v>
      </c>
      <c r="I50" s="27" t="e">
        <f t="shared" si="3"/>
        <v>#VALUE!</v>
      </c>
      <c r="J50" s="68"/>
      <c r="K50" s="68"/>
      <c r="L50" s="68"/>
      <c r="M50" s="68"/>
      <c r="N50" s="68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</row>
    <row r="51" spans="1:64" x14ac:dyDescent="0.35">
      <c r="A51" s="61" t="s">
        <v>39</v>
      </c>
      <c r="B51" s="62" t="s">
        <v>40</v>
      </c>
      <c r="C51" s="63" t="s">
        <v>41</v>
      </c>
      <c r="D51" s="64" t="s">
        <v>41</v>
      </c>
      <c r="E51" s="65" t="s">
        <v>41</v>
      </c>
      <c r="F51" s="25">
        <v>60</v>
      </c>
      <c r="G51" s="26" t="e">
        <f t="shared" si="2"/>
        <v>#VALUE!</v>
      </c>
      <c r="H51" s="25">
        <v>60</v>
      </c>
      <c r="I51" s="27" t="e">
        <f t="shared" si="3"/>
        <v>#VALUE!</v>
      </c>
      <c r="J51" s="68"/>
      <c r="K51" s="68"/>
      <c r="L51" s="68"/>
      <c r="M51" s="68"/>
      <c r="N51" s="68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</row>
    <row r="52" spans="1:64" x14ac:dyDescent="0.35">
      <c r="A52" s="61" t="s">
        <v>39</v>
      </c>
      <c r="B52" s="62" t="s">
        <v>40</v>
      </c>
      <c r="C52" s="63" t="s">
        <v>41</v>
      </c>
      <c r="D52" s="64" t="s">
        <v>41</v>
      </c>
      <c r="E52" s="65" t="s">
        <v>41</v>
      </c>
      <c r="F52" s="25">
        <v>60</v>
      </c>
      <c r="G52" s="26" t="e">
        <f t="shared" si="2"/>
        <v>#VALUE!</v>
      </c>
      <c r="H52" s="25">
        <v>60</v>
      </c>
      <c r="I52" s="27" t="e">
        <f t="shared" si="3"/>
        <v>#VALUE!</v>
      </c>
      <c r="J52" s="68"/>
      <c r="K52" s="68"/>
      <c r="L52" s="68"/>
      <c r="M52" s="68"/>
      <c r="N52" s="68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</row>
    <row r="53" spans="1:64" x14ac:dyDescent="0.35">
      <c r="A53" s="61" t="s">
        <v>39</v>
      </c>
      <c r="B53" s="62" t="s">
        <v>40</v>
      </c>
      <c r="C53" s="63" t="s">
        <v>41</v>
      </c>
      <c r="D53" s="64" t="s">
        <v>41</v>
      </c>
      <c r="E53" s="65" t="s">
        <v>41</v>
      </c>
      <c r="F53" s="25">
        <v>50</v>
      </c>
      <c r="G53" s="26" t="e">
        <f t="shared" si="2"/>
        <v>#VALUE!</v>
      </c>
      <c r="H53" s="25">
        <v>60</v>
      </c>
      <c r="I53" s="27" t="e">
        <f t="shared" si="3"/>
        <v>#VALUE!</v>
      </c>
      <c r="J53" s="68"/>
      <c r="K53" s="68"/>
      <c r="L53" s="68"/>
      <c r="M53" s="68"/>
      <c r="N53" s="68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</row>
    <row r="54" spans="1:64" x14ac:dyDescent="0.35">
      <c r="A54" s="61" t="s">
        <v>39</v>
      </c>
      <c r="B54" s="62" t="s">
        <v>40</v>
      </c>
      <c r="C54" s="63" t="s">
        <v>41</v>
      </c>
      <c r="D54" s="64" t="s">
        <v>41</v>
      </c>
      <c r="E54" s="65" t="s">
        <v>41</v>
      </c>
      <c r="F54" s="25">
        <v>50</v>
      </c>
      <c r="G54" s="26" t="e">
        <f t="shared" si="2"/>
        <v>#VALUE!</v>
      </c>
      <c r="H54" s="25">
        <v>60</v>
      </c>
      <c r="I54" s="27" t="e">
        <f t="shared" si="3"/>
        <v>#VALUE!</v>
      </c>
      <c r="J54" s="68"/>
      <c r="K54" s="68"/>
      <c r="L54" s="68"/>
      <c r="M54" s="68"/>
      <c r="N54" s="68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</row>
    <row r="55" spans="1:64" x14ac:dyDescent="0.35">
      <c r="A55" s="61" t="s">
        <v>39</v>
      </c>
      <c r="B55" s="62" t="s">
        <v>40</v>
      </c>
      <c r="C55" s="63" t="s">
        <v>41</v>
      </c>
      <c r="D55" s="64" t="s">
        <v>41</v>
      </c>
      <c r="E55" s="65" t="s">
        <v>41</v>
      </c>
      <c r="F55" s="25">
        <v>60</v>
      </c>
      <c r="G55" s="26" t="e">
        <f t="shared" si="2"/>
        <v>#VALUE!</v>
      </c>
      <c r="H55" s="25">
        <v>60</v>
      </c>
      <c r="I55" s="27" t="e">
        <f t="shared" si="3"/>
        <v>#VALUE!</v>
      </c>
      <c r="J55" s="68"/>
      <c r="K55" s="68"/>
      <c r="L55" s="68"/>
      <c r="M55" s="68"/>
      <c r="N55" s="68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</row>
    <row r="56" spans="1:64" x14ac:dyDescent="0.35">
      <c r="A56" s="61" t="s">
        <v>39</v>
      </c>
      <c r="B56" s="62" t="s">
        <v>40</v>
      </c>
      <c r="C56" s="63" t="s">
        <v>41</v>
      </c>
      <c r="D56" s="64" t="s">
        <v>41</v>
      </c>
      <c r="E56" s="65" t="s">
        <v>41</v>
      </c>
      <c r="F56" s="25">
        <v>60</v>
      </c>
      <c r="G56" s="26" t="e">
        <f t="shared" si="2"/>
        <v>#VALUE!</v>
      </c>
      <c r="H56" s="25">
        <v>60</v>
      </c>
      <c r="I56" s="27" t="e">
        <f t="shared" si="3"/>
        <v>#VALUE!</v>
      </c>
      <c r="J56" s="68"/>
      <c r="K56" s="68"/>
      <c r="L56" s="68"/>
      <c r="M56" s="68"/>
      <c r="N56" s="68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</row>
    <row r="57" spans="1:64" x14ac:dyDescent="0.35">
      <c r="A57" s="61" t="s">
        <v>39</v>
      </c>
      <c r="B57" s="62" t="s">
        <v>40</v>
      </c>
      <c r="C57" s="63" t="s">
        <v>41</v>
      </c>
      <c r="D57" s="64" t="s">
        <v>41</v>
      </c>
      <c r="E57" s="65" t="s">
        <v>41</v>
      </c>
      <c r="F57" s="25">
        <v>50</v>
      </c>
      <c r="G57" s="26" t="e">
        <f t="shared" si="2"/>
        <v>#VALUE!</v>
      </c>
      <c r="H57" s="25">
        <v>60</v>
      </c>
      <c r="I57" s="27" t="e">
        <f t="shared" si="3"/>
        <v>#VALUE!</v>
      </c>
      <c r="J57" s="68"/>
      <c r="K57" s="68"/>
      <c r="L57" s="68"/>
      <c r="M57" s="68"/>
      <c r="N57" s="68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</row>
    <row r="58" spans="1:64" x14ac:dyDescent="0.35">
      <c r="A58" s="61" t="s">
        <v>39</v>
      </c>
      <c r="B58" s="62" t="s">
        <v>40</v>
      </c>
      <c r="C58" s="63" t="s">
        <v>41</v>
      </c>
      <c r="D58" s="64" t="s">
        <v>41</v>
      </c>
      <c r="E58" s="65" t="s">
        <v>41</v>
      </c>
      <c r="F58" s="25">
        <v>50</v>
      </c>
      <c r="G58" s="26" t="e">
        <f t="shared" si="2"/>
        <v>#VALUE!</v>
      </c>
      <c r="H58" s="25">
        <v>60</v>
      </c>
      <c r="I58" s="27" t="e">
        <f t="shared" si="3"/>
        <v>#VALUE!</v>
      </c>
      <c r="J58" s="68"/>
      <c r="K58" s="68"/>
      <c r="L58" s="68"/>
      <c r="M58" s="68"/>
      <c r="N58" s="68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</row>
    <row r="59" spans="1:64" x14ac:dyDescent="0.35">
      <c r="A59" s="61" t="s">
        <v>39</v>
      </c>
      <c r="B59" s="62" t="s">
        <v>40</v>
      </c>
      <c r="C59" s="63" t="s">
        <v>41</v>
      </c>
      <c r="D59" s="64" t="s">
        <v>41</v>
      </c>
      <c r="E59" s="65" t="s">
        <v>41</v>
      </c>
      <c r="F59" s="25">
        <v>50</v>
      </c>
      <c r="G59" s="26" t="e">
        <f t="shared" si="2"/>
        <v>#VALUE!</v>
      </c>
      <c r="H59" s="25">
        <v>60</v>
      </c>
      <c r="I59" s="27" t="e">
        <f t="shared" si="3"/>
        <v>#VALUE!</v>
      </c>
      <c r="J59" s="68"/>
      <c r="K59" s="68"/>
      <c r="L59" s="68"/>
      <c r="M59" s="68"/>
      <c r="N59" s="68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</row>
    <row r="60" spans="1:64" x14ac:dyDescent="0.35">
      <c r="A60" s="61" t="s">
        <v>39</v>
      </c>
      <c r="B60" s="62" t="s">
        <v>40</v>
      </c>
      <c r="C60" s="63" t="s">
        <v>41</v>
      </c>
      <c r="D60" s="64" t="s">
        <v>41</v>
      </c>
      <c r="E60" s="65" t="s">
        <v>41</v>
      </c>
      <c r="F60" s="25">
        <v>60</v>
      </c>
      <c r="G60" s="26" t="e">
        <f t="shared" si="2"/>
        <v>#VALUE!</v>
      </c>
      <c r="H60" s="25">
        <v>60</v>
      </c>
      <c r="I60" s="27" t="e">
        <f t="shared" si="3"/>
        <v>#VALUE!</v>
      </c>
      <c r="J60" s="68"/>
      <c r="K60" s="68"/>
      <c r="L60" s="68"/>
      <c r="M60" s="68"/>
      <c r="N60" s="68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</row>
    <row r="61" spans="1:64" x14ac:dyDescent="0.35">
      <c r="A61" s="61" t="s">
        <v>39</v>
      </c>
      <c r="B61" s="62" t="s">
        <v>40</v>
      </c>
      <c r="C61" s="63" t="s">
        <v>41</v>
      </c>
      <c r="D61" s="64" t="s">
        <v>41</v>
      </c>
      <c r="E61" s="65" t="s">
        <v>41</v>
      </c>
      <c r="F61" s="25">
        <v>60</v>
      </c>
      <c r="G61" s="26" t="e">
        <f t="shared" si="2"/>
        <v>#VALUE!</v>
      </c>
      <c r="H61" s="25">
        <v>60</v>
      </c>
      <c r="I61" s="27" t="e">
        <f t="shared" si="3"/>
        <v>#VALUE!</v>
      </c>
      <c r="J61" s="68"/>
      <c r="K61" s="68"/>
      <c r="L61" s="68"/>
      <c r="M61" s="68"/>
      <c r="N61" s="68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</row>
    <row r="62" spans="1:64" x14ac:dyDescent="0.35">
      <c r="A62" s="61" t="s">
        <v>39</v>
      </c>
      <c r="B62" s="62" t="s">
        <v>40</v>
      </c>
      <c r="C62" s="63" t="s">
        <v>41</v>
      </c>
      <c r="D62" s="64" t="s">
        <v>41</v>
      </c>
      <c r="E62" s="65" t="s">
        <v>41</v>
      </c>
      <c r="F62" s="25">
        <v>45</v>
      </c>
      <c r="G62" s="26" t="e">
        <f t="shared" si="2"/>
        <v>#VALUE!</v>
      </c>
      <c r="H62" s="25">
        <v>60</v>
      </c>
      <c r="I62" s="27" t="e">
        <f t="shared" si="3"/>
        <v>#VALUE!</v>
      </c>
      <c r="J62" s="68"/>
      <c r="K62" s="68"/>
      <c r="L62" s="68"/>
      <c r="M62" s="68"/>
      <c r="N62" s="68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</row>
    <row r="63" spans="1:64" x14ac:dyDescent="0.35">
      <c r="A63" s="61" t="s">
        <v>39</v>
      </c>
      <c r="B63" s="62" t="s">
        <v>40</v>
      </c>
      <c r="C63" s="63" t="s">
        <v>41</v>
      </c>
      <c r="D63" s="64" t="s">
        <v>41</v>
      </c>
      <c r="E63" s="65" t="s">
        <v>41</v>
      </c>
      <c r="F63" s="25">
        <v>45</v>
      </c>
      <c r="G63" s="26" t="e">
        <f t="shared" si="2"/>
        <v>#VALUE!</v>
      </c>
      <c r="H63" s="25">
        <v>60</v>
      </c>
      <c r="I63" s="27" t="e">
        <f t="shared" si="3"/>
        <v>#VALUE!</v>
      </c>
      <c r="J63" s="68"/>
      <c r="K63" s="68"/>
      <c r="L63" s="68"/>
      <c r="M63" s="68"/>
      <c r="N63" s="68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</row>
    <row r="64" spans="1:64" x14ac:dyDescent="0.35">
      <c r="A64" s="61" t="s">
        <v>39</v>
      </c>
      <c r="B64" s="62" t="s">
        <v>40</v>
      </c>
      <c r="C64" s="63" t="s">
        <v>41</v>
      </c>
      <c r="D64" s="64" t="s">
        <v>41</v>
      </c>
      <c r="E64" s="65" t="s">
        <v>41</v>
      </c>
      <c r="F64" s="25">
        <v>60</v>
      </c>
      <c r="G64" s="26" t="e">
        <f t="shared" si="2"/>
        <v>#VALUE!</v>
      </c>
      <c r="H64" s="25">
        <v>60</v>
      </c>
      <c r="I64" s="27" t="e">
        <f t="shared" si="3"/>
        <v>#VALUE!</v>
      </c>
      <c r="J64" s="68"/>
      <c r="K64" s="68"/>
      <c r="L64" s="68"/>
      <c r="M64" s="68"/>
      <c r="N64" s="68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</row>
    <row r="65" spans="1:64" x14ac:dyDescent="0.35">
      <c r="A65" s="61" t="s">
        <v>39</v>
      </c>
      <c r="B65" s="62" t="s">
        <v>40</v>
      </c>
      <c r="C65" s="63" t="s">
        <v>41</v>
      </c>
      <c r="D65" s="64" t="s">
        <v>41</v>
      </c>
      <c r="E65" s="65" t="s">
        <v>41</v>
      </c>
      <c r="F65" s="25">
        <v>60</v>
      </c>
      <c r="G65" s="26" t="e">
        <f t="shared" si="2"/>
        <v>#VALUE!</v>
      </c>
      <c r="H65" s="25">
        <v>60</v>
      </c>
      <c r="I65" s="27" t="e">
        <f t="shared" si="3"/>
        <v>#VALUE!</v>
      </c>
      <c r="J65" s="68"/>
      <c r="K65" s="68"/>
      <c r="L65" s="68"/>
      <c r="M65" s="68"/>
      <c r="N65" s="68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</row>
    <row r="66" spans="1:64" x14ac:dyDescent="0.35">
      <c r="A66" s="61" t="s">
        <v>39</v>
      </c>
      <c r="B66" s="62" t="s">
        <v>40</v>
      </c>
      <c r="C66" s="63" t="s">
        <v>41</v>
      </c>
      <c r="D66" s="64" t="s">
        <v>41</v>
      </c>
      <c r="E66" s="65" t="s">
        <v>41</v>
      </c>
      <c r="F66" s="25">
        <v>60</v>
      </c>
      <c r="G66" s="26" t="e">
        <f t="shared" si="2"/>
        <v>#VALUE!</v>
      </c>
      <c r="H66" s="25">
        <v>60</v>
      </c>
      <c r="I66" s="27" t="e">
        <f t="shared" si="3"/>
        <v>#VALUE!</v>
      </c>
      <c r="J66" s="68"/>
      <c r="K66" s="68"/>
      <c r="L66" s="68"/>
      <c r="M66" s="68"/>
      <c r="N66" s="68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</row>
    <row r="67" spans="1:64" x14ac:dyDescent="0.35">
      <c r="A67" s="61" t="s">
        <v>39</v>
      </c>
      <c r="B67" s="62" t="s">
        <v>40</v>
      </c>
      <c r="C67" s="63" t="s">
        <v>41</v>
      </c>
      <c r="D67" s="64" t="s">
        <v>41</v>
      </c>
      <c r="E67" s="65" t="s">
        <v>41</v>
      </c>
      <c r="F67" s="25">
        <v>60</v>
      </c>
      <c r="G67" s="26" t="e">
        <f t="shared" si="2"/>
        <v>#VALUE!</v>
      </c>
      <c r="H67" s="25">
        <v>60</v>
      </c>
      <c r="I67" s="27" t="e">
        <f t="shared" si="3"/>
        <v>#VALUE!</v>
      </c>
      <c r="J67" s="68"/>
      <c r="K67" s="68"/>
      <c r="L67" s="68"/>
      <c r="M67" s="68"/>
      <c r="N67" s="68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</row>
    <row r="68" spans="1:64" x14ac:dyDescent="0.35">
      <c r="A68" s="61" t="s">
        <v>39</v>
      </c>
      <c r="B68" s="62" t="s">
        <v>40</v>
      </c>
      <c r="C68" s="63" t="s">
        <v>41</v>
      </c>
      <c r="D68" s="64" t="s">
        <v>41</v>
      </c>
      <c r="E68" s="65" t="s">
        <v>41</v>
      </c>
      <c r="F68" s="25">
        <v>60</v>
      </c>
      <c r="G68" s="26" t="e">
        <f t="shared" si="2"/>
        <v>#VALUE!</v>
      </c>
      <c r="H68" s="25">
        <v>60</v>
      </c>
      <c r="I68" s="27" t="e">
        <f t="shared" si="3"/>
        <v>#VALUE!</v>
      </c>
      <c r="J68" s="68"/>
      <c r="K68" s="68"/>
      <c r="L68" s="68"/>
      <c r="M68" s="68"/>
      <c r="N68" s="68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</row>
    <row r="69" spans="1:64" x14ac:dyDescent="0.35">
      <c r="A69" s="61" t="s">
        <v>39</v>
      </c>
      <c r="B69" s="62" t="s">
        <v>40</v>
      </c>
      <c r="C69" s="63" t="s">
        <v>41</v>
      </c>
      <c r="D69" s="64" t="s">
        <v>41</v>
      </c>
      <c r="E69" s="65" t="s">
        <v>41</v>
      </c>
      <c r="F69" s="25">
        <v>50</v>
      </c>
      <c r="G69" s="26" t="e">
        <f t="shared" si="2"/>
        <v>#VALUE!</v>
      </c>
      <c r="H69" s="25">
        <v>60</v>
      </c>
      <c r="I69" s="27" t="e">
        <f t="shared" si="3"/>
        <v>#VALUE!</v>
      </c>
      <c r="J69" s="68"/>
      <c r="K69" s="68"/>
      <c r="L69" s="68"/>
      <c r="M69" s="68"/>
      <c r="N69" s="68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</row>
    <row r="70" spans="1:64" x14ac:dyDescent="0.35">
      <c r="A70" s="29"/>
      <c r="B70" s="30"/>
      <c r="C70" s="31"/>
      <c r="D70" s="32"/>
      <c r="E70" s="33"/>
      <c r="F70" s="33"/>
      <c r="G70" s="33"/>
      <c r="H70" s="33"/>
      <c r="I70" s="33"/>
      <c r="J70" s="29"/>
      <c r="K70" s="29"/>
      <c r="L70" s="29"/>
      <c r="M70" s="29"/>
      <c r="N70" s="29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</row>
    <row r="71" spans="1:64" x14ac:dyDescent="0.35">
      <c r="A71" s="34" t="s">
        <v>30</v>
      </c>
      <c r="B71" s="35"/>
      <c r="C71" s="36">
        <f>SUM(C11:C69)</f>
        <v>0</v>
      </c>
      <c r="D71" s="37">
        <f>SUM(D11:D69)</f>
        <v>0</v>
      </c>
      <c r="E71" s="38"/>
      <c r="F71" s="39">
        <f>SUM(F11:F69)*12</f>
        <v>374200.79999999993</v>
      </c>
      <c r="G71" s="39" t="e">
        <f>SUMIFS(F11:F69,D11:D69,"&gt;0")*12/D71</f>
        <v>#DIV/0!</v>
      </c>
      <c r="H71" s="39">
        <f>SUM(H11:H69)*12</f>
        <v>519840</v>
      </c>
      <c r="I71" s="39" t="e">
        <f>SUMIFS(H11:H69,D11:D69,"&gt;0")*12/D71</f>
        <v>#DIV/0!</v>
      </c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40"/>
      <c r="BI71" s="40"/>
      <c r="BJ71" s="40"/>
      <c r="BK71" s="40"/>
      <c r="BL71" s="40"/>
    </row>
    <row r="72" spans="1:64" x14ac:dyDescent="0.35">
      <c r="A72" s="41" t="s">
        <v>31</v>
      </c>
      <c r="B72" s="42"/>
      <c r="C72" s="43"/>
      <c r="D72" s="42"/>
      <c r="E72" s="43"/>
      <c r="F72" s="95">
        <f>F71/F71</f>
        <v>1</v>
      </c>
      <c r="G72" s="95"/>
      <c r="H72" s="95">
        <f>H71/F71</f>
        <v>1.389200664456089</v>
      </c>
      <c r="I72" s="95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5"/>
      <c r="BI72" s="45"/>
      <c r="BJ72" s="45"/>
      <c r="BK72" s="45"/>
      <c r="BL72" s="45"/>
    </row>
    <row r="77" spans="1:64" ht="15.5" hidden="1" outlineLevel="1" x14ac:dyDescent="0.35">
      <c r="A77" s="46" t="s">
        <v>32</v>
      </c>
      <c r="B77" s="46"/>
      <c r="C77" s="46"/>
      <c r="D77" s="46"/>
      <c r="E77" s="46"/>
      <c r="F77" s="46"/>
      <c r="G77" s="46"/>
      <c r="H77" s="47"/>
      <c r="I77" s="48"/>
      <c r="J77" s="49"/>
      <c r="K77" s="49"/>
      <c r="L77" s="49"/>
      <c r="M77" s="49"/>
      <c r="N77" s="49"/>
      <c r="O77" s="49"/>
      <c r="P77" s="49"/>
      <c r="Q77" s="50"/>
      <c r="R77" s="50"/>
      <c r="S77" s="50"/>
      <c r="T77" s="50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</row>
    <row r="78" spans="1:64" hidden="1" outlineLevel="1" x14ac:dyDescent="0.35">
      <c r="A78" s="52" t="s">
        <v>33</v>
      </c>
    </row>
    <row r="79" spans="1:64" hidden="1" outlineLevel="1" x14ac:dyDescent="0.35">
      <c r="A79" s="53" t="s">
        <v>34</v>
      </c>
    </row>
    <row r="80" spans="1:64" hidden="1" outlineLevel="1" x14ac:dyDescent="0.35">
      <c r="A80" s="53" t="s">
        <v>35</v>
      </c>
    </row>
    <row r="81" spans="1:1" hidden="1" outlineLevel="1" x14ac:dyDescent="0.35">
      <c r="A81" s="53" t="s">
        <v>36</v>
      </c>
    </row>
    <row r="82" spans="1:1" collapsed="1" x14ac:dyDescent="0.35"/>
  </sheetData>
  <mergeCells count="23">
    <mergeCell ref="F72:G72"/>
    <mergeCell ref="H72:I72"/>
    <mergeCell ref="AI8:AM8"/>
    <mergeCell ref="AS8:AW8"/>
    <mergeCell ref="AX8:BB8"/>
    <mergeCell ref="A6:E6"/>
    <mergeCell ref="F6:I6"/>
    <mergeCell ref="BC8:BG8"/>
    <mergeCell ref="BH8:BL8"/>
    <mergeCell ref="AN8:AR8"/>
    <mergeCell ref="F8:G8"/>
    <mergeCell ref="H8:I8"/>
    <mergeCell ref="J8:O8"/>
    <mergeCell ref="P8:T8"/>
    <mergeCell ref="U8:Y8"/>
    <mergeCell ref="Z8:AD8"/>
    <mergeCell ref="AE8:AH8"/>
    <mergeCell ref="H1:BL4"/>
    <mergeCell ref="J6:BL6"/>
    <mergeCell ref="F7:G7"/>
    <mergeCell ref="H7:I7"/>
    <mergeCell ref="J7:AD7"/>
    <mergeCell ref="AE7:BL7"/>
  </mergeCells>
  <conditionalFormatting sqref="G11:G69">
    <cfRule type="expression" dxfId="3" priority="7">
      <formula>NOT((G11)="")</formula>
    </cfRule>
  </conditionalFormatting>
  <conditionalFormatting sqref="I11:I69">
    <cfRule type="expression" dxfId="2" priority="5">
      <formula>NOT((I11)="")</formula>
    </cfRule>
  </conditionalFormatting>
  <conditionalFormatting sqref="J11:BL69">
    <cfRule type="expression" dxfId="1" priority="2">
      <formula>J11=""</formula>
    </cfRule>
    <cfRule type="expression" dxfId="0" priority="3">
      <formula>ISERR(J11*2)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A5F255F2B66C409D43A737833D66F5" ma:contentTypeVersion="13" ma:contentTypeDescription="Crée un document." ma:contentTypeScope="" ma:versionID="79e8dc8ed66d9e62e683c7efe2c80508">
  <xsd:schema xmlns:xsd="http://www.w3.org/2001/XMLSchema" xmlns:xs="http://www.w3.org/2001/XMLSchema" xmlns:p="http://schemas.microsoft.com/office/2006/metadata/properties" xmlns:ns2="8eddc163-c0a9-4628-be77-537a13c1992f" xmlns:ns3="1838925d-45a1-4dde-8f30-a224043f44c5" targetNamespace="http://schemas.microsoft.com/office/2006/metadata/properties" ma:root="true" ma:fieldsID="13f1d90ebc485deb536199ab8593a4e4" ns2:_="" ns3:_="">
    <xsd:import namespace="8eddc163-c0a9-4628-be77-537a13c1992f"/>
    <xsd:import namespace="1838925d-45a1-4dde-8f30-a224043f44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ddc163-c0a9-4628-be77-537a13c19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930ef261-79a6-4d52-adb9-c3d27d5fac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38925d-45a1-4dde-8f30-a224043f44c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ad4c00-7002-46c7-bf50-54e80f6038f0}" ma:internalName="TaxCatchAll" ma:showField="CatchAllData" ma:web="1838925d-45a1-4dde-8f30-a224043f44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ddc163-c0a9-4628-be77-537a13c1992f">
      <Terms xmlns="http://schemas.microsoft.com/office/infopath/2007/PartnerControls"/>
    </lcf76f155ced4ddcb4097134ff3c332f>
    <TaxCatchAll xmlns="1838925d-45a1-4dde-8f30-a224043f44c5" xsi:nil="true"/>
  </documentManagement>
</p:properties>
</file>

<file path=customXml/itemProps1.xml><?xml version="1.0" encoding="utf-8"?>
<ds:datastoreItem xmlns:ds="http://schemas.openxmlformats.org/officeDocument/2006/customXml" ds:itemID="{5FF6B798-064E-46D0-A04A-EF26C3E537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D28AC3-DD49-4702-8942-C05158DCA2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ddc163-c0a9-4628-be77-537a13c1992f"/>
    <ds:schemaRef ds:uri="1838925d-45a1-4dde-8f30-a224043f4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1455B1-30B4-44F9-9839-8996481D3CE9}">
  <ds:schemaRefs>
    <ds:schemaRef ds:uri="http://schemas.microsoft.com/office/2006/metadata/properties"/>
    <ds:schemaRef ds:uri="http://schemas.microsoft.com/office/infopath/2007/PartnerControls"/>
    <ds:schemaRef ds:uri="8eddc163-c0a9-4628-be77-537a13c1992f"/>
    <ds:schemaRef ds:uri="1838925d-45a1-4dde-8f30-a224043f44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5</vt:i4>
      </vt:variant>
    </vt:vector>
  </HeadingPairs>
  <TitlesOfParts>
    <vt:vector size="6" baseType="lpstr">
      <vt:lpstr>Feuil1</vt:lpstr>
      <vt:lpstr>Feuil1!Header_AnneeConstruction</vt:lpstr>
      <vt:lpstr>Feuil1!Hidden_PraticableAgeImmeubleTranche1</vt:lpstr>
      <vt:lpstr>Feuil1!Hidden_PraticableAgeImmeubleTranche2</vt:lpstr>
      <vt:lpstr>Feuil1!Hidden_PraticablePctImmeubleTranche1</vt:lpstr>
      <vt:lpstr>Feuil1!Hidden_PraticablePctImmeubleTranche2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Heitz</dc:creator>
  <cp:lastModifiedBy>Johan Weber</cp:lastModifiedBy>
  <dcterms:created xsi:type="dcterms:W3CDTF">2025-01-31T15:14:19Z</dcterms:created>
  <dcterms:modified xsi:type="dcterms:W3CDTF">2025-05-05T15:16:08Z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0x010100A5A5F255F2B66C409D43A737833D66F5</vt:lpwstr>
  </property>
  <property fmtid="{D5CDD505-2E9C-101B-9397-08002B2CF9AE}" pid="3" name="MediaServiceImageTags">
    <vt:lpwstr/>
  </property>
</Properties>
</file>