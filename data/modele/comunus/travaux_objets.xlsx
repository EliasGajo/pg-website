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as.gajo\Documents\python\pg-website\data\modele\comunus\"/>
    </mc:Choice>
  </mc:AlternateContent>
  <xr:revisionPtr revIDLastSave="225" documentId="8_{C98A3340-DA2F-439C-9013-BD6C2501AE17}" xr6:coauthVersionLast="47" xr6:coauthVersionMax="47" xr10:uidLastSave="{B1F68501-9695-4A58-9FC3-0B04D29DE960}"/>
  <bookViews>
    <workbookView xWindow="-120" yWindow="-120" windowWidth="51840" windowHeight="21120" xr2:uid="{1884A66E-A47E-4F09-8B2D-0ECEA2159B8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O85" i="1"/>
  <c r="O67" i="1"/>
  <c r="O70" i="1"/>
  <c r="O73" i="1"/>
  <c r="O76" i="1"/>
  <c r="O79" i="1"/>
  <c r="O82" i="1"/>
  <c r="O88" i="1"/>
  <c r="O91" i="1"/>
  <c r="O64" i="1" l="1"/>
  <c r="M40" i="1" l="1"/>
  <c r="M42" i="1" s="1"/>
  <c r="J36" i="1"/>
  <c r="J38" i="1" s="1"/>
  <c r="C42" i="1"/>
  <c r="K95" i="1"/>
  <c r="G95" i="1"/>
  <c r="C38" i="1"/>
  <c r="M36" i="1"/>
  <c r="M38" i="1" s="1"/>
  <c r="F36" i="1"/>
  <c r="F38" i="1" s="1"/>
  <c r="O9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<sst xmlns="http://schemas.openxmlformats.org/spreadsheetml/2006/main" count="100" uniqueCount="87">
  <si>
    <t>FICHE DE VALIDATION</t>
  </si>
  <si>
    <t>Propriétaire</t>
  </si>
  <si>
    <t xml:space="preserve">Numéro de dossier </t>
  </si>
  <si>
    <t>Régie</t>
  </si>
  <si>
    <t>Année</t>
  </si>
  <si>
    <t>Date d'émission fiche</t>
  </si>
  <si>
    <t>Travaux sur</t>
  </si>
  <si>
    <t>Immeuble</t>
  </si>
  <si>
    <t>Numéro de mandat</t>
  </si>
  <si>
    <t>Bail</t>
  </si>
  <si>
    <t>Adresse</t>
  </si>
  <si>
    <t xml:space="preserve">Depuis le </t>
  </si>
  <si>
    <t>Résilié pour le</t>
  </si>
  <si>
    <t>Échéance contractuelle</t>
  </si>
  <si>
    <t>Objet</t>
  </si>
  <si>
    <t>Locataire</t>
  </si>
  <si>
    <t>Loyers</t>
  </si>
  <si>
    <t>Actuel</t>
  </si>
  <si>
    <t xml:space="preserve">Référence objet </t>
  </si>
  <si>
    <t>Actualisé</t>
  </si>
  <si>
    <t>Nombre de pièces</t>
  </si>
  <si>
    <t>Praticable</t>
  </si>
  <si>
    <t>Etage</t>
  </si>
  <si>
    <t>Du marché</t>
  </si>
  <si>
    <t>Surface</t>
  </si>
  <si>
    <t>Libre</t>
  </si>
  <si>
    <t>En l'état</t>
  </si>
  <si>
    <t>Marché</t>
  </si>
  <si>
    <t>Description des travaux</t>
  </si>
  <si>
    <t>Rénovation complète</t>
  </si>
  <si>
    <t>Loyer</t>
  </si>
  <si>
    <t>Loyer m2</t>
  </si>
  <si>
    <t>Estimation des travaux</t>
  </si>
  <si>
    <t>Rendement brut sur travaux</t>
  </si>
  <si>
    <t>Date de mise en location</t>
  </si>
  <si>
    <t>Selon planning</t>
  </si>
  <si>
    <t xml:space="preserve">Commentaires / Remarques régie </t>
  </si>
  <si>
    <t>Type de travaux</t>
  </si>
  <si>
    <t>Date</t>
  </si>
  <si>
    <t>Visa</t>
  </si>
  <si>
    <t>ATTRIBUTION TRAVAUX</t>
  </si>
  <si>
    <t>DÉCOMPTE TRAVAUX</t>
  </si>
  <si>
    <t xml:space="preserve">Locataire libéré le </t>
  </si>
  <si>
    <t xml:space="preserve">Début travaux </t>
  </si>
  <si>
    <t>Entreprise</t>
  </si>
  <si>
    <t>Devis TTC</t>
  </si>
  <si>
    <t>Date comptable</t>
  </si>
  <si>
    <t>Facture TTC</t>
  </si>
  <si>
    <t>Différence</t>
  </si>
  <si>
    <t>Total</t>
  </si>
  <si>
    <t xml:space="preserve">Honoraires régie </t>
  </si>
  <si>
    <t>Honoraires régie</t>
  </si>
  <si>
    <t>Commentaires / remarques</t>
  </si>
  <si>
    <t>CONDITIONS DE RELOCATION</t>
  </si>
  <si>
    <t>Date du bail</t>
  </si>
  <si>
    <t xml:space="preserve">Loyer net </t>
  </si>
  <si>
    <t>Visa Comunus SICAV</t>
  </si>
  <si>
    <t>Comunus SICAV</t>
  </si>
  <si>
    <t>Commentaire / Remarques Comunus SICAV</t>
  </si>
  <si>
    <t>Estimation loyer LPPPL/LDTR</t>
  </si>
  <si>
    <t>Peinture</t>
  </si>
  <si>
    <t>Carrelage</t>
  </si>
  <si>
    <t>Corps de métier</t>
  </si>
  <si>
    <t>Parquet</t>
  </si>
  <si>
    <t>Electricité</t>
  </si>
  <si>
    <t>Sanitaire</t>
  </si>
  <si>
    <t>Chauffage</t>
  </si>
  <si>
    <t>Menuiserie</t>
  </si>
  <si>
    <t>Désamiantage</t>
  </si>
  <si>
    <t>Diagnostic amiante</t>
  </si>
  <si>
    <t>Cuisine</t>
  </si>
  <si>
    <t xml:space="preserve"> </t>
  </si>
  <si>
    <t>Fin travaux</t>
  </si>
  <si>
    <t>Briaux</t>
  </si>
  <si>
    <t>Scuderi</t>
  </si>
  <si>
    <t>Clot</t>
  </si>
  <si>
    <t>Réfection peinture complète</t>
  </si>
  <si>
    <t>Devis retenu</t>
  </si>
  <si>
    <t>Bernard Nicod Yverdon</t>
  </si>
  <si>
    <t>1457.01.200001</t>
  </si>
  <si>
    <t>Réfection complète logement</t>
  </si>
  <si>
    <t>St-Roch 4 à Yverdon</t>
  </si>
  <si>
    <t>Résiliation reçue le</t>
  </si>
  <si>
    <t>Weber</t>
  </si>
  <si>
    <t xml:space="preserve">1er </t>
  </si>
  <si>
    <t>Révision sanitaire, peinture, parquet</t>
  </si>
  <si>
    <t>Peinture, 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</si>
</sst>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CHF&quot;_-;\-* #,##0.00\ &quot;CHF&quot;_-;_-* &quot;-&quot;??\ &quot;CHF&quot;_-;_-@_-"/>
    <numFmt numFmtId="164" formatCode="&quot;CHF&quot;\ #,##0.00"/>
    <numFmt numFmtId="165" formatCode="####\ &quot;m2&quot;"/>
    <numFmt numFmtId="166" formatCode="####\ &quot;CHF/m2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4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3" tint="9.9978637043366805E-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3" borderId="0" xfId="0" applyFill="1" applyAlignment="1" applyProtection="1">
      <alignment horizontal="center" vertical="center"/>
      <protection locked="0"/>
    </xf>
    <xf numFmtId="0" fontId="0" fillId="0" borderId="4" xfId="0" applyBorder="1"/>
    <xf numFmtId="0" fontId="0" fillId="0" borderId="5" xfId="0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0" borderId="3" xfId="0" applyFont="1" applyBorder="1"/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 applyProtection="1">
      <alignment horizontal="left" vertical="center"/>
      <protection locked="0"/>
    </xf>
    <xf numFmtId="164" fontId="0" fillId="3" borderId="12" xfId="0" applyNumberFormat="1" applyFill="1" applyBorder="1" applyAlignment="1" applyProtection="1">
      <alignment horizontal="center" vertical="center"/>
      <protection locked="0"/>
    </xf>
    <xf numFmtId="164" fontId="0" fillId="0" borderId="0" xfId="0" applyNumberFormat="1" applyProtection="1">
      <protection locked="0"/>
    </xf>
    <xf numFmtId="0" fontId="3" fillId="0" borderId="0" xfId="0" applyFont="1" applyAlignment="1">
      <alignment horizontal="right"/>
    </xf>
    <xf numFmtId="164" fontId="1" fillId="2" borderId="1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2" borderId="3" xfId="0" applyFill="1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Alignment="1">
      <alignment vertical="center"/>
    </xf>
    <xf numFmtId="164" fontId="0" fillId="0" borderId="0" xfId="0" applyNumberFormat="1" applyAlignment="1" applyProtection="1">
      <alignment horizontal="center"/>
      <protection locked="0"/>
    </xf>
    <xf numFmtId="0" fontId="1" fillId="0" borderId="0" xfId="0" applyFont="1"/>
    <xf numFmtId="0" fontId="0" fillId="3" borderId="0" xfId="0" applyFill="1" applyProtection="1"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64" fontId="0" fillId="0" borderId="17" xfId="1" applyNumberFormat="1" applyFont="1" applyBorder="1" applyAlignment="1" applyProtection="1">
      <alignment vertical="center"/>
      <protection locked="0"/>
    </xf>
    <xf numFmtId="164" fontId="0" fillId="0" borderId="20" xfId="1" applyNumberFormat="1" applyFont="1" applyBorder="1" applyAlignment="1" applyProtection="1">
      <alignment vertical="center"/>
      <protection locked="0"/>
    </xf>
    <xf numFmtId="164" fontId="0" fillId="3" borderId="29" xfId="0" applyNumberFormat="1" applyFill="1" applyBorder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3" borderId="25" xfId="0" applyNumberFormat="1" applyFill="1" applyBorder="1" applyAlignment="1" applyProtection="1">
      <alignment horizontal="center" vertical="center"/>
      <protection locked="0"/>
    </xf>
    <xf numFmtId="164" fontId="0" fillId="3" borderId="23" xfId="0" applyNumberFormat="1" applyFill="1" applyBorder="1" applyAlignment="1" applyProtection="1">
      <alignment horizontal="center" vertical="center"/>
      <protection locked="0"/>
    </xf>
    <xf numFmtId="164" fontId="0" fillId="3" borderId="24" xfId="0" applyNumberFormat="1" applyFill="1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164" fontId="0" fillId="3" borderId="31" xfId="0" applyNumberFormat="1" applyFill="1" applyBorder="1" applyAlignment="1" applyProtection="1">
      <alignment horizontal="center" vertical="center"/>
      <protection locked="0"/>
    </xf>
    <xf numFmtId="164" fontId="0" fillId="3" borderId="26" xfId="0" applyNumberFormat="1" applyFill="1" applyBorder="1" applyAlignment="1" applyProtection="1">
      <alignment horizontal="center" vertical="center"/>
      <protection locked="0"/>
    </xf>
    <xf numFmtId="164" fontId="0" fillId="3" borderId="28" xfId="0" applyNumberFormat="1" applyFill="1" applyBorder="1" applyAlignment="1" applyProtection="1">
      <alignment horizontal="center" vertical="center"/>
      <protection locked="0"/>
    </xf>
    <xf numFmtId="164" fontId="0" fillId="3" borderId="30" xfId="0" applyNumberFormat="1" applyFill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164" fontId="0" fillId="3" borderId="22" xfId="0" applyNumberFormat="1" applyFill="1" applyBorder="1" applyAlignment="1" applyProtection="1">
      <alignment horizontal="center" vertical="center"/>
      <protection locked="0"/>
    </xf>
    <xf numFmtId="14" fontId="0" fillId="0" borderId="27" xfId="0" applyNumberForma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165" fontId="0" fillId="3" borderId="0" xfId="0" applyNumberFormat="1" applyFill="1" applyAlignment="1" applyProtection="1">
      <alignment horizontal="center" vertical="center"/>
      <protection locked="0"/>
    </xf>
    <xf numFmtId="164" fontId="0" fillId="3" borderId="0" xfId="0" applyNumberFormat="1" applyFill="1" applyAlignment="1" applyProtection="1">
      <alignment horizontal="center" vertical="center"/>
      <protection locked="0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10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3" borderId="0" xfId="0" applyNumberFormat="1" applyFill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3" borderId="0" xfId="0" applyNumberFormat="1" applyFill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/>
    </xf>
    <xf numFmtId="164" fontId="0" fillId="3" borderId="0" xfId="0" applyNumberFormat="1" applyFill="1" applyAlignment="1" applyProtection="1">
      <alignment horizontal="center"/>
      <protection locked="0"/>
    </xf>
    <xf numFmtId="164" fontId="0" fillId="3" borderId="3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2" borderId="0" xfId="0" applyFill="1" applyAlignment="1">
      <alignment horizontal="left" vertical="center"/>
    </xf>
    <xf numFmtId="0" fontId="3" fillId="0" borderId="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 applyProtection="1">
      <alignment horizontal="left" vertical="center" wrapText="1"/>
      <protection locked="0"/>
    </xf>
    <xf numFmtId="0" fontId="0" fillId="2" borderId="0" xfId="0" applyFill="1" applyAlignment="1">
      <alignment horizontal="left" vertical="center" wrapText="1"/>
    </xf>
    <xf numFmtId="0" fontId="0" fillId="0" borderId="2" xfId="0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BADE-64A9-42EB-B004-267CBF9BB09A}">
  <dimension ref="A2:U106"/>
  <sheetViews>
    <sheetView tabSelected="1" topLeftCell="A52" zoomScale="85" zoomScaleNormal="85" workbookViewId="0">
      <selection activeCell="N69" sqref="N69"/>
    </sheetView>
  </sheetViews>
  <sheetFormatPr baseColWidth="10" defaultRowHeight="15" x14ac:dyDescent="0.25"/>
  <cols>
    <col min="1" max="1" width="23.85546875" bestFit="1" customWidth="1"/>
    <col min="2" max="2" width="15" customWidth="1"/>
    <col min="3" max="3" width="20" customWidth="1"/>
    <col min="6" max="6" width="16.42578125" customWidth="1"/>
    <col min="7" max="7" width="17.140625" bestFit="1" customWidth="1"/>
    <col min="10" max="10" width="15.28515625" bestFit="1" customWidth="1"/>
    <col min="11" max="11" width="17.140625" bestFit="1" customWidth="1"/>
    <col min="15" max="15" width="12.85546875" bestFit="1" customWidth="1"/>
    <col min="16" max="16" width="13.85546875" customWidth="1"/>
  </cols>
  <sheetData>
    <row r="2" spans="1:16" ht="41.1" customHeight="1" x14ac:dyDescent="0.4">
      <c r="A2" s="75" t="s">
        <v>0</v>
      </c>
      <c r="B2" s="75"/>
      <c r="C2" s="75"/>
      <c r="D2" s="1"/>
      <c r="E2" s="1"/>
      <c r="F2" s="1"/>
      <c r="G2" s="1"/>
      <c r="H2" s="1"/>
      <c r="I2" s="1"/>
      <c r="J2" s="1"/>
      <c r="K2" s="1"/>
      <c r="L2" s="78" t="e" vm="1">
        <v>#VALUE!</v>
      </c>
      <c r="M2" s="78"/>
      <c r="N2" s="78"/>
      <c r="O2" s="78"/>
      <c r="P2" s="79"/>
    </row>
    <row r="3" spans="1:16" x14ac:dyDescent="0.25">
      <c r="A3" s="2"/>
      <c r="P3" s="15"/>
    </row>
    <row r="4" spans="1:16" x14ac:dyDescent="0.25">
      <c r="A4" s="2"/>
      <c r="P4" s="15"/>
    </row>
    <row r="5" spans="1:16" x14ac:dyDescent="0.25">
      <c r="A5" s="2"/>
      <c r="C5" t="s">
        <v>1</v>
      </c>
      <c r="F5" s="76" t="s">
        <v>57</v>
      </c>
      <c r="G5" s="76"/>
      <c r="H5" s="76"/>
      <c r="I5" s="76"/>
      <c r="K5" t="s">
        <v>2</v>
      </c>
      <c r="O5" s="76" t="s">
        <v>79</v>
      </c>
      <c r="P5" s="77"/>
    </row>
    <row r="6" spans="1:16" x14ac:dyDescent="0.25">
      <c r="A6" s="2"/>
      <c r="F6" s="60"/>
      <c r="G6" s="60"/>
      <c r="H6" s="60"/>
      <c r="I6" s="60"/>
      <c r="O6" s="60"/>
      <c r="P6" s="70"/>
    </row>
    <row r="7" spans="1:16" x14ac:dyDescent="0.25">
      <c r="A7" s="2"/>
      <c r="C7" t="s">
        <v>3</v>
      </c>
      <c r="F7" s="71" t="s">
        <v>78</v>
      </c>
      <c r="G7" s="71"/>
      <c r="H7" s="71"/>
      <c r="I7" s="71"/>
      <c r="K7" t="s">
        <v>4</v>
      </c>
      <c r="O7" s="61">
        <v>2026</v>
      </c>
      <c r="P7" s="72"/>
    </row>
    <row r="8" spans="1:16" x14ac:dyDescent="0.25">
      <c r="A8" s="2"/>
      <c r="F8" s="60"/>
      <c r="G8" s="60"/>
      <c r="H8" s="60"/>
      <c r="I8" s="60"/>
      <c r="O8" s="60"/>
      <c r="P8" s="70"/>
    </row>
    <row r="9" spans="1:16" x14ac:dyDescent="0.25">
      <c r="A9" s="2"/>
      <c r="C9" t="s">
        <v>5</v>
      </c>
      <c r="F9" s="71">
        <v>46106</v>
      </c>
      <c r="G9" s="71"/>
      <c r="H9" s="71"/>
      <c r="I9" s="71"/>
      <c r="K9" t="s">
        <v>6</v>
      </c>
      <c r="O9" s="61" t="s">
        <v>80</v>
      </c>
      <c r="P9" s="72"/>
    </row>
    <row r="10" spans="1:16" x14ac:dyDescent="0.25">
      <c r="A10" s="4"/>
      <c r="B10" s="5"/>
      <c r="C10" s="5"/>
      <c r="D10" s="5"/>
      <c r="E10" s="5"/>
      <c r="F10" s="73"/>
      <c r="G10" s="73"/>
      <c r="H10" s="73"/>
      <c r="I10" s="73"/>
      <c r="J10" s="5"/>
      <c r="K10" s="5"/>
      <c r="L10" s="5"/>
      <c r="M10" s="5"/>
      <c r="N10" s="5"/>
      <c r="O10" s="73"/>
      <c r="P10" s="74"/>
    </row>
    <row r="11" spans="1:16" x14ac:dyDescent="0.25">
      <c r="A11" s="2"/>
      <c r="F11" s="78"/>
      <c r="G11" s="78"/>
      <c r="H11" s="78"/>
      <c r="I11" s="78"/>
      <c r="O11" s="78"/>
      <c r="P11" s="79"/>
    </row>
    <row r="12" spans="1:16" ht="15.75" x14ac:dyDescent="0.25">
      <c r="A12" s="6" t="s">
        <v>7</v>
      </c>
      <c r="C12" t="s">
        <v>8</v>
      </c>
      <c r="F12" s="61">
        <v>1250</v>
      </c>
      <c r="G12" s="61"/>
      <c r="H12" s="61"/>
      <c r="I12" s="61"/>
      <c r="J12" s="7" t="s">
        <v>9</v>
      </c>
      <c r="K12" t="s">
        <v>82</v>
      </c>
      <c r="O12" s="80">
        <v>46096</v>
      </c>
      <c r="P12" s="81"/>
    </row>
    <row r="13" spans="1:16" x14ac:dyDescent="0.25">
      <c r="A13" s="2"/>
      <c r="F13" s="66"/>
      <c r="G13" s="66"/>
      <c r="H13" s="66"/>
      <c r="I13" s="66"/>
      <c r="O13" s="66"/>
      <c r="P13" s="84"/>
    </row>
    <row r="14" spans="1:16" x14ac:dyDescent="0.25">
      <c r="A14" s="2"/>
      <c r="C14" t="s">
        <v>10</v>
      </c>
      <c r="F14" s="61" t="s">
        <v>81</v>
      </c>
      <c r="G14" s="61"/>
      <c r="H14" s="61"/>
      <c r="I14" s="61"/>
      <c r="K14" t="s">
        <v>11</v>
      </c>
      <c r="O14" s="80">
        <v>43862</v>
      </c>
      <c r="P14" s="81"/>
    </row>
    <row r="15" spans="1:16" x14ac:dyDescent="0.25">
      <c r="A15" s="2"/>
      <c r="F15" s="82"/>
      <c r="G15" s="82"/>
      <c r="H15" s="82"/>
      <c r="I15" s="82"/>
      <c r="O15" s="66"/>
      <c r="P15" s="84"/>
    </row>
    <row r="16" spans="1:16" x14ac:dyDescent="0.25">
      <c r="A16" s="2"/>
      <c r="F16" s="82"/>
      <c r="G16" s="82"/>
      <c r="H16" s="82"/>
      <c r="I16" s="82"/>
      <c r="K16" t="s">
        <v>12</v>
      </c>
      <c r="O16" s="80">
        <v>46127</v>
      </c>
      <c r="P16" s="81"/>
    </row>
    <row r="17" spans="1:16" x14ac:dyDescent="0.25">
      <c r="A17" s="2"/>
      <c r="F17" s="82"/>
      <c r="G17" s="82"/>
      <c r="H17" s="82"/>
      <c r="I17" s="82"/>
      <c r="O17" s="66"/>
      <c r="P17" s="84"/>
    </row>
    <row r="18" spans="1:16" x14ac:dyDescent="0.25">
      <c r="A18" s="2"/>
      <c r="F18" s="82"/>
      <c r="G18" s="82"/>
      <c r="H18" s="82"/>
      <c r="I18" s="82"/>
      <c r="K18" t="s">
        <v>13</v>
      </c>
      <c r="O18" s="80">
        <v>46295</v>
      </c>
      <c r="P18" s="81"/>
    </row>
    <row r="19" spans="1:16" x14ac:dyDescent="0.25">
      <c r="A19" s="4"/>
      <c r="B19" s="5"/>
      <c r="C19" s="5"/>
      <c r="D19" s="5"/>
      <c r="E19" s="5"/>
      <c r="F19" s="83"/>
      <c r="G19" s="83"/>
      <c r="H19" s="83"/>
      <c r="I19" s="83"/>
      <c r="J19" s="5"/>
      <c r="K19" s="5"/>
      <c r="L19" s="5"/>
      <c r="M19" s="5"/>
      <c r="N19" s="5"/>
      <c r="O19" s="73"/>
      <c r="P19" s="74"/>
    </row>
    <row r="20" spans="1:16" x14ac:dyDescent="0.25">
      <c r="A20" s="2"/>
      <c r="F20" s="78"/>
      <c r="G20" s="78"/>
      <c r="H20" s="78"/>
      <c r="I20" s="78"/>
      <c r="O20" s="78"/>
      <c r="P20" s="79"/>
    </row>
    <row r="21" spans="1:16" ht="15.75" x14ac:dyDescent="0.25">
      <c r="A21" s="6" t="s">
        <v>14</v>
      </c>
      <c r="C21" t="s">
        <v>15</v>
      </c>
      <c r="F21" s="61" t="s">
        <v>83</v>
      </c>
      <c r="G21" s="61"/>
      <c r="H21" s="61"/>
      <c r="I21" s="61"/>
      <c r="J21" s="7" t="s">
        <v>16</v>
      </c>
      <c r="K21" t="s">
        <v>17</v>
      </c>
      <c r="O21" s="85">
        <v>1250</v>
      </c>
      <c r="P21" s="86"/>
    </row>
    <row r="22" spans="1:16" x14ac:dyDescent="0.25">
      <c r="A22" s="2"/>
      <c r="F22" s="66"/>
      <c r="G22" s="66"/>
      <c r="H22" s="66"/>
      <c r="I22" s="66"/>
      <c r="O22" s="66"/>
      <c r="P22" s="84"/>
    </row>
    <row r="23" spans="1:16" x14ac:dyDescent="0.25">
      <c r="A23" s="2"/>
      <c r="C23" t="s">
        <v>18</v>
      </c>
      <c r="F23" s="61" t="s">
        <v>79</v>
      </c>
      <c r="G23" s="61"/>
      <c r="H23" s="61"/>
      <c r="I23" s="61"/>
      <c r="K23" t="s">
        <v>19</v>
      </c>
      <c r="O23" s="85">
        <v>1111</v>
      </c>
      <c r="P23" s="86"/>
    </row>
    <row r="24" spans="1:16" x14ac:dyDescent="0.25">
      <c r="A24" s="2"/>
      <c r="F24" s="82"/>
      <c r="G24" s="82"/>
      <c r="H24" s="82"/>
      <c r="I24" s="82"/>
      <c r="O24" s="66"/>
      <c r="P24" s="84"/>
    </row>
    <row r="25" spans="1:16" x14ac:dyDescent="0.25">
      <c r="A25" s="2"/>
      <c r="C25" t="s">
        <v>20</v>
      </c>
      <c r="F25" s="61">
        <v>2.5</v>
      </c>
      <c r="G25" s="61"/>
      <c r="H25" s="61"/>
      <c r="I25" s="61"/>
      <c r="K25" t="s">
        <v>21</v>
      </c>
      <c r="O25" s="85">
        <v>1350</v>
      </c>
      <c r="P25" s="86"/>
    </row>
    <row r="26" spans="1:16" x14ac:dyDescent="0.25">
      <c r="A26" s="2"/>
      <c r="F26" s="82"/>
      <c r="G26" s="82"/>
      <c r="H26" s="82"/>
      <c r="I26" s="82"/>
      <c r="O26" s="66"/>
      <c r="P26" s="84"/>
    </row>
    <row r="27" spans="1:16" x14ac:dyDescent="0.25">
      <c r="A27" s="2"/>
      <c r="C27" t="s">
        <v>22</v>
      </c>
      <c r="F27" s="61" t="s">
        <v>84</v>
      </c>
      <c r="G27" s="61"/>
      <c r="H27" s="61"/>
      <c r="I27" s="61"/>
      <c r="K27" t="s">
        <v>23</v>
      </c>
      <c r="O27" s="85">
        <v>1650</v>
      </c>
      <c r="P27" s="86"/>
    </row>
    <row r="28" spans="1:16" x14ac:dyDescent="0.25">
      <c r="A28" s="2"/>
      <c r="F28" s="82"/>
      <c r="G28" s="82"/>
      <c r="H28" s="82"/>
      <c r="I28" s="82"/>
      <c r="O28" s="88"/>
      <c r="P28" s="89"/>
    </row>
    <row r="29" spans="1:16" x14ac:dyDescent="0.25">
      <c r="A29" s="2"/>
      <c r="C29" t="s">
        <v>24</v>
      </c>
      <c r="F29" s="62">
        <v>55</v>
      </c>
      <c r="G29" s="62"/>
      <c r="H29" s="62"/>
      <c r="I29" s="62"/>
      <c r="K29" t="s">
        <v>59</v>
      </c>
      <c r="O29" s="85">
        <v>1350</v>
      </c>
      <c r="P29" s="86"/>
    </row>
    <row r="30" spans="1:16" x14ac:dyDescent="0.25">
      <c r="A30" s="4"/>
      <c r="B30" s="5"/>
      <c r="C30" s="5"/>
      <c r="D30" s="5"/>
      <c r="E30" s="5"/>
      <c r="F30" s="73"/>
      <c r="G30" s="73"/>
      <c r="H30" s="73"/>
      <c r="I30" s="73"/>
      <c r="J30" s="5"/>
      <c r="K30" s="5"/>
      <c r="L30" s="5"/>
      <c r="M30" s="5"/>
      <c r="N30" s="5"/>
      <c r="O30" s="73"/>
      <c r="P30" s="74"/>
    </row>
    <row r="31" spans="1:16" x14ac:dyDescent="0.25">
      <c r="A31" s="3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2"/>
    </row>
    <row r="32" spans="1:16" ht="15.75" x14ac:dyDescent="0.25">
      <c r="A32" s="2"/>
      <c r="C32" s="87" t="s">
        <v>25</v>
      </c>
      <c r="D32" s="87"/>
      <c r="E32" s="10"/>
      <c r="F32" s="87" t="s">
        <v>26</v>
      </c>
      <c r="G32" s="87"/>
      <c r="H32" s="87"/>
      <c r="J32" s="87" t="s">
        <v>21</v>
      </c>
      <c r="K32" s="87"/>
      <c r="M32" s="87" t="s">
        <v>27</v>
      </c>
      <c r="N32" s="87"/>
      <c r="O32" s="87"/>
      <c r="P32" s="15"/>
    </row>
    <row r="33" spans="1:16" x14ac:dyDescent="0.25">
      <c r="A33" s="2"/>
      <c r="P33" s="15"/>
    </row>
    <row r="34" spans="1:16" x14ac:dyDescent="0.25">
      <c r="A34" s="11" t="s">
        <v>28</v>
      </c>
      <c r="B34" s="33"/>
      <c r="C34" s="61" t="s">
        <v>85</v>
      </c>
      <c r="D34" s="61"/>
      <c r="E34" s="9"/>
      <c r="F34" s="66"/>
      <c r="G34" s="66"/>
      <c r="H34" s="66"/>
      <c r="I34" s="8"/>
      <c r="J34" s="63" t="s">
        <v>86</v>
      </c>
      <c r="K34" s="61"/>
      <c r="L34" s="8"/>
      <c r="M34" s="76" t="s">
        <v>29</v>
      </c>
      <c r="N34" s="76"/>
      <c r="O34" s="76"/>
      <c r="P34" s="15"/>
    </row>
    <row r="35" spans="1:16" x14ac:dyDescent="0.25">
      <c r="A35" s="2"/>
      <c r="C35" s="66"/>
      <c r="D35" s="66"/>
      <c r="J35" s="66"/>
      <c r="K35" s="66"/>
      <c r="L35" s="66"/>
      <c r="M35" s="66"/>
      <c r="N35" s="66"/>
      <c r="O35" s="66"/>
      <c r="P35" s="15"/>
    </row>
    <row r="36" spans="1:16" x14ac:dyDescent="0.25">
      <c r="A36" s="11" t="s">
        <v>30</v>
      </c>
      <c r="C36" s="63">
        <v>1300</v>
      </c>
      <c r="D36" s="63"/>
      <c r="E36" s="34"/>
      <c r="F36" s="64">
        <f>O21</f>
        <v>1250</v>
      </c>
      <c r="G36" s="64"/>
      <c r="H36" s="64"/>
      <c r="I36" s="8"/>
      <c r="J36" s="64">
        <f>O25</f>
        <v>1350</v>
      </c>
      <c r="K36" s="64"/>
      <c r="L36" s="8"/>
      <c r="M36" s="64">
        <f>O27</f>
        <v>1650</v>
      </c>
      <c r="N36" s="64"/>
      <c r="O36" s="64"/>
      <c r="P36" s="15"/>
    </row>
    <row r="37" spans="1:16" x14ac:dyDescent="0.25">
      <c r="A37" s="11"/>
      <c r="C37" s="65"/>
      <c r="D37" s="65"/>
      <c r="E37" s="34"/>
      <c r="F37" s="66"/>
      <c r="G37" s="66"/>
      <c r="H37" s="66"/>
      <c r="I37" s="8"/>
      <c r="J37" s="66"/>
      <c r="K37" s="66"/>
      <c r="L37" s="66"/>
      <c r="M37" s="66"/>
      <c r="N37" s="66"/>
      <c r="O37" s="66"/>
      <c r="P37" s="15"/>
    </row>
    <row r="38" spans="1:16" x14ac:dyDescent="0.25">
      <c r="A38" s="11" t="s">
        <v>31</v>
      </c>
      <c r="C38" s="68">
        <f>(C36*12)/F29</f>
        <v>283.63636363636363</v>
      </c>
      <c r="D38" s="68"/>
      <c r="E38" s="34"/>
      <c r="F38" s="69">
        <f>(F36*12)/F29</f>
        <v>272.72727272727275</v>
      </c>
      <c r="G38" s="68"/>
      <c r="H38" s="68"/>
      <c r="I38" s="8"/>
      <c r="J38" s="68">
        <f>(J36*12)/F29</f>
        <v>294.54545454545456</v>
      </c>
      <c r="K38" s="68"/>
      <c r="L38" s="8"/>
      <c r="M38" s="68">
        <f>(M36*12)/F29</f>
        <v>360</v>
      </c>
      <c r="N38" s="68"/>
      <c r="O38" s="68"/>
      <c r="P38" s="15"/>
    </row>
    <row r="39" spans="1:16" x14ac:dyDescent="0.25">
      <c r="A39" s="11"/>
      <c r="C39" s="65"/>
      <c r="D39" s="65"/>
      <c r="E39" s="34"/>
      <c r="F39" s="66"/>
      <c r="G39" s="66"/>
      <c r="H39" s="66"/>
      <c r="I39" s="8"/>
      <c r="J39" s="66"/>
      <c r="K39" s="66"/>
      <c r="L39" s="66"/>
      <c r="M39" s="66"/>
      <c r="N39" s="66"/>
      <c r="O39" s="66"/>
      <c r="P39" s="15"/>
    </row>
    <row r="40" spans="1:16" x14ac:dyDescent="0.25">
      <c r="A40" s="11" t="s">
        <v>32</v>
      </c>
      <c r="C40" s="63">
        <v>15000</v>
      </c>
      <c r="D40" s="63"/>
      <c r="E40" s="34"/>
      <c r="F40" s="66"/>
      <c r="G40" s="66"/>
      <c r="H40" s="66"/>
      <c r="I40" s="8"/>
      <c r="J40" s="63">
        <v>10000</v>
      </c>
      <c r="K40" s="63"/>
      <c r="L40" s="8"/>
      <c r="M40" s="64">
        <f>F29*1050</f>
        <v>57750</v>
      </c>
      <c r="N40" s="64"/>
      <c r="O40" s="64"/>
      <c r="P40" s="15"/>
    </row>
    <row r="41" spans="1:16" x14ac:dyDescent="0.25">
      <c r="A41" s="11"/>
      <c r="C41" s="65"/>
      <c r="D41" s="65"/>
      <c r="E41" s="34"/>
      <c r="F41" s="66"/>
      <c r="G41" s="66"/>
      <c r="H41" s="66"/>
      <c r="I41" s="8"/>
      <c r="J41" s="66"/>
      <c r="K41" s="66"/>
      <c r="L41" s="66"/>
      <c r="M41" s="66"/>
      <c r="N41" s="66"/>
      <c r="O41" s="66"/>
      <c r="P41" s="15"/>
    </row>
    <row r="42" spans="1:16" x14ac:dyDescent="0.25">
      <c r="A42" s="11" t="s">
        <v>33</v>
      </c>
      <c r="C42" s="67">
        <f>(C36-O21)*12/C40</f>
        <v>0.04</v>
      </c>
      <c r="D42" s="67"/>
      <c r="E42" s="34"/>
      <c r="F42" s="66"/>
      <c r="G42" s="66"/>
      <c r="H42" s="66"/>
      <c r="I42" s="8"/>
      <c r="J42" s="67">
        <f>(O25-O21)*12/J40</f>
        <v>0.12</v>
      </c>
      <c r="K42" s="67"/>
      <c r="L42" s="8"/>
      <c r="M42" s="67">
        <f>(O27-O21)*12/M40</f>
        <v>8.3116883116883117E-2</v>
      </c>
      <c r="N42" s="67"/>
      <c r="O42" s="67"/>
      <c r="P42" s="15"/>
    </row>
    <row r="43" spans="1:16" x14ac:dyDescent="0.25">
      <c r="A43" s="2"/>
      <c r="C43" s="66"/>
      <c r="D43" s="66"/>
      <c r="F43" s="66"/>
      <c r="G43" s="66"/>
      <c r="H43" s="66"/>
      <c r="J43" s="66"/>
      <c r="K43" s="66"/>
      <c r="L43" s="66"/>
      <c r="M43" s="66"/>
      <c r="N43" s="66"/>
      <c r="O43" s="66"/>
      <c r="P43" s="15"/>
    </row>
    <row r="44" spans="1:16" x14ac:dyDescent="0.25">
      <c r="A44" s="2" t="s">
        <v>34</v>
      </c>
      <c r="C44" s="71">
        <v>46143</v>
      </c>
      <c r="D44" s="61"/>
      <c r="F44" s="71">
        <v>46096</v>
      </c>
      <c r="G44" s="61"/>
      <c r="H44" s="61"/>
      <c r="J44" s="71">
        <v>46143</v>
      </c>
      <c r="K44" s="61"/>
      <c r="M44" s="96" t="s">
        <v>35</v>
      </c>
      <c r="N44" s="96"/>
      <c r="O44" s="96"/>
      <c r="P44" s="15"/>
    </row>
    <row r="45" spans="1:16" ht="15.75" x14ac:dyDescent="0.25">
      <c r="A45" s="2"/>
      <c r="F45" s="12" t="s">
        <v>36</v>
      </c>
      <c r="P45" s="15"/>
    </row>
    <row r="46" spans="1:16" x14ac:dyDescent="0.25">
      <c r="A46" s="2"/>
      <c r="P46" s="15"/>
    </row>
    <row r="47" spans="1:16" x14ac:dyDescent="0.25">
      <c r="A47" s="2"/>
      <c r="F47" s="97"/>
      <c r="G47" s="97"/>
      <c r="H47" s="97"/>
      <c r="I47" s="97"/>
      <c r="J47" s="97"/>
      <c r="K47" s="97"/>
      <c r="L47" s="97"/>
      <c r="M47" s="97"/>
      <c r="P47" s="15"/>
    </row>
    <row r="48" spans="1:16" x14ac:dyDescent="0.25">
      <c r="A48" s="2"/>
      <c r="F48" s="97"/>
      <c r="G48" s="97"/>
      <c r="H48" s="97"/>
      <c r="I48" s="97"/>
      <c r="J48" s="97"/>
      <c r="K48" s="97"/>
      <c r="L48" s="97"/>
      <c r="M48" s="97"/>
      <c r="P48" s="15"/>
    </row>
    <row r="49" spans="1:16" x14ac:dyDescent="0.25">
      <c r="A49" s="2"/>
      <c r="F49" s="66"/>
      <c r="G49" s="66"/>
      <c r="H49" s="66"/>
      <c r="I49" s="66"/>
      <c r="J49" s="66"/>
      <c r="K49" s="66"/>
      <c r="L49" s="66"/>
      <c r="M49" s="66"/>
      <c r="P49" s="15"/>
    </row>
    <row r="50" spans="1:16" ht="15.75" x14ac:dyDescent="0.25">
      <c r="A50" s="2"/>
      <c r="F50" s="12" t="s">
        <v>58</v>
      </c>
      <c r="G50" s="35"/>
      <c r="H50" s="35"/>
      <c r="I50" s="35"/>
      <c r="P50" s="15"/>
    </row>
    <row r="51" spans="1:16" x14ac:dyDescent="0.25">
      <c r="A51" s="2"/>
      <c r="P51" s="15"/>
    </row>
    <row r="52" spans="1:16" ht="15.75" x14ac:dyDescent="0.25">
      <c r="A52" s="2"/>
      <c r="F52" s="90"/>
      <c r="G52" s="90"/>
      <c r="H52" s="90"/>
      <c r="I52" s="90"/>
      <c r="J52" s="90"/>
      <c r="K52" s="90"/>
      <c r="L52" s="90"/>
      <c r="M52" s="90"/>
      <c r="O52" s="91" t="s">
        <v>56</v>
      </c>
      <c r="P52" s="92"/>
    </row>
    <row r="53" spans="1:16" ht="15.75" x14ac:dyDescent="0.25">
      <c r="A53" s="6" t="s">
        <v>37</v>
      </c>
      <c r="C53" s="36"/>
      <c r="F53" s="90"/>
      <c r="G53" s="90"/>
      <c r="H53" s="90"/>
      <c r="I53" s="90"/>
      <c r="J53" s="90"/>
      <c r="K53" s="90"/>
      <c r="L53" s="90"/>
      <c r="M53" s="90"/>
      <c r="O53" s="2" t="s">
        <v>38</v>
      </c>
      <c r="P53" s="29"/>
    </row>
    <row r="54" spans="1:16" x14ac:dyDescent="0.25">
      <c r="A54" s="2"/>
      <c r="O54" s="2"/>
      <c r="P54" s="15"/>
    </row>
    <row r="55" spans="1:16" x14ac:dyDescent="0.25">
      <c r="A55" s="2"/>
      <c r="O55" s="2" t="s">
        <v>39</v>
      </c>
      <c r="P55" s="29"/>
    </row>
    <row r="56" spans="1:16" x14ac:dyDescent="0.25">
      <c r="A56" s="2"/>
      <c r="O56" s="2"/>
      <c r="P56" s="84"/>
    </row>
    <row r="57" spans="1:16" ht="15.75" thickBot="1" x14ac:dyDescent="0.3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3"/>
      <c r="P57" s="93"/>
    </row>
    <row r="58" spans="1:16" x14ac:dyDescent="0.25">
      <c r="A58" s="2"/>
      <c r="P58" s="15"/>
    </row>
    <row r="59" spans="1:16" ht="24" x14ac:dyDescent="0.4">
      <c r="A59" s="94" t="s">
        <v>40</v>
      </c>
      <c r="B59" s="94"/>
      <c r="C59" s="94"/>
      <c r="J59" s="94" t="s">
        <v>41</v>
      </c>
      <c r="K59" s="94"/>
      <c r="L59" s="94"/>
      <c r="M59" s="94"/>
      <c r="P59" s="15"/>
    </row>
    <row r="60" spans="1:16" x14ac:dyDescent="0.25">
      <c r="A60" s="2"/>
      <c r="P60" s="15"/>
    </row>
    <row r="61" spans="1:16" ht="15.75" x14ac:dyDescent="0.25">
      <c r="A61" s="2"/>
      <c r="C61" s="95" t="s">
        <v>42</v>
      </c>
      <c r="D61" s="95"/>
      <c r="E61" s="16"/>
      <c r="F61" s="61"/>
      <c r="G61" s="61"/>
      <c r="J61" s="17" t="s">
        <v>43</v>
      </c>
      <c r="K61" s="3"/>
      <c r="L61" s="18"/>
      <c r="M61" s="17" t="s">
        <v>72</v>
      </c>
      <c r="N61" s="19"/>
      <c r="O61" s="20"/>
      <c r="P61" s="21"/>
    </row>
    <row r="62" spans="1:16" x14ac:dyDescent="0.25">
      <c r="A62" s="2"/>
      <c r="C62" s="73"/>
      <c r="D62" s="73"/>
      <c r="F62" s="73"/>
      <c r="G62" s="73"/>
      <c r="P62" s="15"/>
    </row>
    <row r="63" spans="1:16" ht="16.5" thickBot="1" x14ac:dyDescent="0.3">
      <c r="A63" s="22" t="s">
        <v>62</v>
      </c>
      <c r="B63" s="22" t="s">
        <v>44</v>
      </c>
      <c r="C63" s="101" t="s">
        <v>28</v>
      </c>
      <c r="D63" s="102"/>
      <c r="E63" s="102"/>
      <c r="F63" s="39" t="s">
        <v>45</v>
      </c>
      <c r="G63" s="38" t="s">
        <v>77</v>
      </c>
      <c r="J63" s="38" t="s">
        <v>46</v>
      </c>
      <c r="K63" s="38" t="s">
        <v>47</v>
      </c>
      <c r="L63" s="10"/>
      <c r="O63" s="38" t="s">
        <v>48</v>
      </c>
      <c r="P63" s="15"/>
    </row>
    <row r="64" spans="1:16" ht="15.95" customHeight="1" thickTop="1" thickBot="1" x14ac:dyDescent="0.3">
      <c r="A64" s="43" t="s">
        <v>60</v>
      </c>
      <c r="B64" s="23" t="s">
        <v>73</v>
      </c>
      <c r="C64" s="56" t="s">
        <v>76</v>
      </c>
      <c r="D64" s="57"/>
      <c r="E64" s="57"/>
      <c r="F64" s="40">
        <v>2500</v>
      </c>
      <c r="G64" s="58">
        <v>2500</v>
      </c>
      <c r="J64" s="59">
        <v>46250</v>
      </c>
      <c r="K64" s="52">
        <v>3500</v>
      </c>
      <c r="L64" s="25"/>
      <c r="O64" s="52">
        <f>K64-G64</f>
        <v>1000</v>
      </c>
      <c r="P64" s="15"/>
    </row>
    <row r="65" spans="1:21" ht="16.5" thickTop="1" thickBot="1" x14ac:dyDescent="0.3">
      <c r="A65" s="44"/>
      <c r="B65" s="23" t="s">
        <v>74</v>
      </c>
      <c r="C65" s="56" t="s">
        <v>76</v>
      </c>
      <c r="D65" s="57"/>
      <c r="E65" s="57"/>
      <c r="F65" s="40">
        <v>2650</v>
      </c>
      <c r="G65" s="47"/>
      <c r="J65" s="49"/>
      <c r="K65" s="42"/>
      <c r="L65" s="25"/>
      <c r="O65" s="42"/>
      <c r="P65" s="15"/>
    </row>
    <row r="66" spans="1:21" ht="16.5" thickTop="1" thickBot="1" x14ac:dyDescent="0.3">
      <c r="A66" s="45"/>
      <c r="B66" s="37" t="s">
        <v>75</v>
      </c>
      <c r="C66" s="54" t="s">
        <v>76</v>
      </c>
      <c r="D66" s="55"/>
      <c r="E66" s="55"/>
      <c r="F66" s="41">
        <v>2700</v>
      </c>
      <c r="G66" s="48"/>
      <c r="J66" s="49"/>
      <c r="K66" s="42"/>
      <c r="L66" s="25"/>
      <c r="O66" s="42"/>
      <c r="P66" s="15"/>
    </row>
    <row r="67" spans="1:21" ht="15.95" customHeight="1" thickTop="1" thickBot="1" x14ac:dyDescent="0.3">
      <c r="A67" s="43" t="s">
        <v>63</v>
      </c>
      <c r="B67" s="23"/>
      <c r="C67" s="56"/>
      <c r="D67" s="57"/>
      <c r="E67" s="57"/>
      <c r="F67" s="40"/>
      <c r="G67" s="46">
        <v>3000</v>
      </c>
      <c r="J67" s="49"/>
      <c r="K67" s="42">
        <v>2500</v>
      </c>
      <c r="L67" s="25"/>
      <c r="O67" s="42">
        <f t="shared" ref="O67" si="0">K67-G67</f>
        <v>-500</v>
      </c>
      <c r="P67" s="15"/>
    </row>
    <row r="68" spans="1:21" ht="16.5" thickTop="1" thickBot="1" x14ac:dyDescent="0.3">
      <c r="A68" s="44"/>
      <c r="B68" s="23"/>
      <c r="C68" s="56"/>
      <c r="D68" s="57"/>
      <c r="E68" s="57"/>
      <c r="F68" s="40"/>
      <c r="G68" s="47"/>
      <c r="J68" s="49"/>
      <c r="K68" s="42"/>
      <c r="L68" s="25"/>
      <c r="O68" s="42"/>
      <c r="P68" s="15"/>
    </row>
    <row r="69" spans="1:21" ht="16.5" thickTop="1" thickBot="1" x14ac:dyDescent="0.3">
      <c r="A69" s="45"/>
      <c r="B69" s="37"/>
      <c r="C69" s="54"/>
      <c r="D69" s="55"/>
      <c r="E69" s="55"/>
      <c r="F69" s="41"/>
      <c r="G69" s="48"/>
      <c r="J69" s="49"/>
      <c r="K69" s="42"/>
      <c r="L69" s="25"/>
      <c r="O69" s="42"/>
      <c r="P69" s="15"/>
    </row>
    <row r="70" spans="1:21" ht="15.95" customHeight="1" thickTop="1" thickBot="1" x14ac:dyDescent="0.3">
      <c r="A70" s="43" t="s">
        <v>61</v>
      </c>
      <c r="B70" s="23"/>
      <c r="C70" s="56"/>
      <c r="D70" s="57"/>
      <c r="E70" s="57"/>
      <c r="F70" s="40"/>
      <c r="G70" s="46"/>
      <c r="J70" s="49"/>
      <c r="K70" s="42"/>
      <c r="L70" s="25"/>
      <c r="O70" s="42">
        <f t="shared" ref="O70" si="1">K70-G70</f>
        <v>0</v>
      </c>
      <c r="P70" s="15"/>
    </row>
    <row r="71" spans="1:21" ht="16.5" thickTop="1" thickBot="1" x14ac:dyDescent="0.3">
      <c r="A71" s="44"/>
      <c r="B71" s="23"/>
      <c r="C71" s="56"/>
      <c r="D71" s="57"/>
      <c r="E71" s="57"/>
      <c r="F71" s="40"/>
      <c r="G71" s="47"/>
      <c r="J71" s="49"/>
      <c r="K71" s="42"/>
      <c r="L71" s="25"/>
      <c r="O71" s="42"/>
      <c r="P71" s="15"/>
    </row>
    <row r="72" spans="1:21" ht="16.5" thickTop="1" thickBot="1" x14ac:dyDescent="0.3">
      <c r="A72" s="45"/>
      <c r="B72" s="37"/>
      <c r="C72" s="54"/>
      <c r="D72" s="55"/>
      <c r="E72" s="55"/>
      <c r="F72" s="41"/>
      <c r="G72" s="48"/>
      <c r="J72" s="49"/>
      <c r="K72" s="42"/>
      <c r="L72" s="25"/>
      <c r="O72" s="42"/>
      <c r="P72" s="15"/>
    </row>
    <row r="73" spans="1:21" ht="15.95" customHeight="1" thickTop="1" thickBot="1" x14ac:dyDescent="0.3">
      <c r="A73" s="43" t="s">
        <v>64</v>
      </c>
      <c r="B73" s="23"/>
      <c r="C73" s="56"/>
      <c r="D73" s="57"/>
      <c r="E73" s="57"/>
      <c r="F73" s="40"/>
      <c r="G73" s="46"/>
      <c r="J73" s="49"/>
      <c r="K73" s="42"/>
      <c r="L73" s="25"/>
      <c r="O73" s="42">
        <f t="shared" ref="O73" si="2">K73-G73</f>
        <v>0</v>
      </c>
      <c r="P73" s="15"/>
    </row>
    <row r="74" spans="1:21" ht="16.5" thickTop="1" thickBot="1" x14ac:dyDescent="0.3">
      <c r="A74" s="44"/>
      <c r="B74" s="23"/>
      <c r="C74" s="56"/>
      <c r="D74" s="57"/>
      <c r="E74" s="57"/>
      <c r="F74" s="40"/>
      <c r="G74" s="47"/>
      <c r="J74" s="49"/>
      <c r="K74" s="42"/>
      <c r="L74" s="25"/>
      <c r="O74" s="42"/>
      <c r="P74" s="15"/>
    </row>
    <row r="75" spans="1:21" ht="16.5" thickTop="1" thickBot="1" x14ac:dyDescent="0.3">
      <c r="A75" s="45"/>
      <c r="B75" s="37"/>
      <c r="C75" s="54"/>
      <c r="D75" s="55"/>
      <c r="E75" s="55"/>
      <c r="F75" s="41"/>
      <c r="G75" s="48"/>
      <c r="J75" s="49"/>
      <c r="K75" s="42"/>
      <c r="L75" s="25"/>
      <c r="O75" s="42"/>
      <c r="P75" s="15"/>
      <c r="U75" t="s">
        <v>71</v>
      </c>
    </row>
    <row r="76" spans="1:21" ht="15.95" customHeight="1" thickTop="1" thickBot="1" x14ac:dyDescent="0.3">
      <c r="A76" s="43" t="s">
        <v>65</v>
      </c>
      <c r="B76" s="23"/>
      <c r="C76" s="56"/>
      <c r="D76" s="57"/>
      <c r="E76" s="57"/>
      <c r="F76" s="40"/>
      <c r="G76" s="46"/>
      <c r="J76" s="49"/>
      <c r="K76" s="42"/>
      <c r="L76" s="25"/>
      <c r="O76" s="42">
        <f t="shared" ref="O76" si="3">K76-G76</f>
        <v>0</v>
      </c>
      <c r="P76" s="15"/>
    </row>
    <row r="77" spans="1:21" ht="16.5" thickTop="1" thickBot="1" x14ac:dyDescent="0.3">
      <c r="A77" s="44"/>
      <c r="B77" s="23"/>
      <c r="C77" s="56"/>
      <c r="D77" s="57"/>
      <c r="E77" s="57"/>
      <c r="F77" s="40"/>
      <c r="G77" s="47"/>
      <c r="J77" s="49"/>
      <c r="K77" s="42"/>
      <c r="L77" s="25"/>
      <c r="O77" s="42"/>
      <c r="P77" s="15"/>
    </row>
    <row r="78" spans="1:21" ht="16.5" thickTop="1" thickBot="1" x14ac:dyDescent="0.3">
      <c r="A78" s="45"/>
      <c r="B78" s="37"/>
      <c r="C78" s="54"/>
      <c r="D78" s="55"/>
      <c r="E78" s="55"/>
      <c r="F78" s="41"/>
      <c r="G78" s="48"/>
      <c r="J78" s="49"/>
      <c r="K78" s="42"/>
      <c r="L78" s="25"/>
      <c r="O78" s="42"/>
      <c r="P78" s="15"/>
    </row>
    <row r="79" spans="1:21" ht="15.95" customHeight="1" thickTop="1" thickBot="1" x14ac:dyDescent="0.3">
      <c r="A79" s="43" t="s">
        <v>66</v>
      </c>
      <c r="B79" s="23"/>
      <c r="C79" s="56"/>
      <c r="D79" s="57"/>
      <c r="E79" s="57"/>
      <c r="F79" s="40"/>
      <c r="G79" s="46"/>
      <c r="J79" s="49"/>
      <c r="K79" s="42"/>
      <c r="L79" s="25"/>
      <c r="O79" s="42">
        <f t="shared" ref="O79" si="4">K79-G79</f>
        <v>0</v>
      </c>
      <c r="P79" s="15"/>
    </row>
    <row r="80" spans="1:21" ht="16.5" thickTop="1" thickBot="1" x14ac:dyDescent="0.3">
      <c r="A80" s="44"/>
      <c r="B80" s="23"/>
      <c r="C80" s="56"/>
      <c r="D80" s="57"/>
      <c r="E80" s="57"/>
      <c r="F80" s="40"/>
      <c r="G80" s="47"/>
      <c r="J80" s="49"/>
      <c r="K80" s="42"/>
      <c r="L80" s="25"/>
      <c r="O80" s="42"/>
      <c r="P80" s="15"/>
    </row>
    <row r="81" spans="1:16" ht="16.5" thickTop="1" thickBot="1" x14ac:dyDescent="0.3">
      <c r="A81" s="45"/>
      <c r="B81" s="37"/>
      <c r="C81" s="54"/>
      <c r="D81" s="55"/>
      <c r="E81" s="55"/>
      <c r="F81" s="41"/>
      <c r="G81" s="48"/>
      <c r="J81" s="49"/>
      <c r="K81" s="42"/>
      <c r="L81" s="25"/>
      <c r="O81" s="42"/>
      <c r="P81" s="15"/>
    </row>
    <row r="82" spans="1:16" ht="15.95" customHeight="1" thickTop="1" thickBot="1" x14ac:dyDescent="0.3">
      <c r="A82" s="43" t="s">
        <v>67</v>
      </c>
      <c r="B82" s="23"/>
      <c r="C82" s="56"/>
      <c r="D82" s="57"/>
      <c r="E82" s="57"/>
      <c r="F82" s="40"/>
      <c r="G82" s="46"/>
      <c r="J82" s="49"/>
      <c r="K82" s="42"/>
      <c r="L82" s="25"/>
      <c r="O82" s="42">
        <f t="shared" ref="O82" si="5">K82-G82</f>
        <v>0</v>
      </c>
      <c r="P82" s="15"/>
    </row>
    <row r="83" spans="1:16" ht="16.5" thickTop="1" thickBot="1" x14ac:dyDescent="0.3">
      <c r="A83" s="44"/>
      <c r="B83" s="23"/>
      <c r="C83" s="56"/>
      <c r="D83" s="57"/>
      <c r="E83" s="57"/>
      <c r="F83" s="40"/>
      <c r="G83" s="47"/>
      <c r="J83" s="49"/>
      <c r="K83" s="42"/>
      <c r="L83" s="25"/>
      <c r="O83" s="42"/>
      <c r="P83" s="15"/>
    </row>
    <row r="84" spans="1:16" ht="16.5" thickTop="1" thickBot="1" x14ac:dyDescent="0.3">
      <c r="A84" s="45"/>
      <c r="B84" s="37"/>
      <c r="C84" s="54"/>
      <c r="D84" s="55"/>
      <c r="E84" s="55"/>
      <c r="F84" s="41"/>
      <c r="G84" s="48"/>
      <c r="J84" s="49"/>
      <c r="K84" s="42"/>
      <c r="L84" s="25"/>
      <c r="O84" s="42"/>
      <c r="P84" s="15"/>
    </row>
    <row r="85" spans="1:16" ht="15.95" customHeight="1" thickTop="1" thickBot="1" x14ac:dyDescent="0.3">
      <c r="A85" s="43" t="s">
        <v>70</v>
      </c>
      <c r="B85" s="23"/>
      <c r="C85" s="56"/>
      <c r="D85" s="57"/>
      <c r="E85" s="57"/>
      <c r="F85" s="40"/>
      <c r="G85" s="46"/>
      <c r="J85" s="49"/>
      <c r="K85" s="42"/>
      <c r="L85" s="25"/>
      <c r="O85" s="42">
        <f>K85-G85</f>
        <v>0</v>
      </c>
      <c r="P85" s="15"/>
    </row>
    <row r="86" spans="1:16" ht="16.5" thickTop="1" thickBot="1" x14ac:dyDescent="0.3">
      <c r="A86" s="44"/>
      <c r="B86" s="23"/>
      <c r="C86" s="56"/>
      <c r="D86" s="57"/>
      <c r="E86" s="57"/>
      <c r="F86" s="40"/>
      <c r="G86" s="47"/>
      <c r="J86" s="49"/>
      <c r="K86" s="42"/>
      <c r="L86" s="25"/>
      <c r="O86" s="42"/>
      <c r="P86" s="15"/>
    </row>
    <row r="87" spans="1:16" ht="16.5" thickTop="1" thickBot="1" x14ac:dyDescent="0.3">
      <c r="A87" s="45"/>
      <c r="B87" s="37"/>
      <c r="C87" s="54"/>
      <c r="D87" s="55"/>
      <c r="E87" s="55"/>
      <c r="F87" s="41"/>
      <c r="G87" s="48"/>
      <c r="J87" s="49"/>
      <c r="K87" s="42"/>
      <c r="L87" s="25"/>
      <c r="O87" s="42"/>
      <c r="P87" s="15"/>
    </row>
    <row r="88" spans="1:16" ht="15.95" customHeight="1" thickTop="1" thickBot="1" x14ac:dyDescent="0.3">
      <c r="A88" s="43" t="s">
        <v>69</v>
      </c>
      <c r="B88" s="23"/>
      <c r="C88" s="56"/>
      <c r="D88" s="57"/>
      <c r="E88" s="57"/>
      <c r="F88" s="40"/>
      <c r="G88" s="46"/>
      <c r="J88" s="49"/>
      <c r="K88" s="42"/>
      <c r="L88" s="25"/>
      <c r="O88" s="42">
        <f t="shared" ref="O88" si="6">K88-G88</f>
        <v>0</v>
      </c>
      <c r="P88" s="15"/>
    </row>
    <row r="89" spans="1:16" ht="16.5" thickTop="1" thickBot="1" x14ac:dyDescent="0.3">
      <c r="A89" s="44"/>
      <c r="B89" s="23"/>
      <c r="C89" s="56"/>
      <c r="D89" s="57"/>
      <c r="E89" s="57"/>
      <c r="F89" s="40"/>
      <c r="G89" s="47"/>
      <c r="J89" s="49"/>
      <c r="K89" s="42"/>
      <c r="L89" s="25"/>
      <c r="O89" s="42"/>
      <c r="P89" s="15"/>
    </row>
    <row r="90" spans="1:16" ht="16.5" thickTop="1" thickBot="1" x14ac:dyDescent="0.3">
      <c r="A90" s="45"/>
      <c r="B90" s="37"/>
      <c r="C90" s="54"/>
      <c r="D90" s="55"/>
      <c r="E90" s="55"/>
      <c r="F90" s="41"/>
      <c r="G90" s="48"/>
      <c r="J90" s="49"/>
      <c r="K90" s="50"/>
      <c r="L90" s="25"/>
      <c r="O90" s="42"/>
      <c r="P90" s="15"/>
    </row>
    <row r="91" spans="1:16" ht="15.95" customHeight="1" thickTop="1" thickBot="1" x14ac:dyDescent="0.3">
      <c r="A91" s="43" t="s">
        <v>68</v>
      </c>
      <c r="B91" s="23"/>
      <c r="C91" s="56"/>
      <c r="D91" s="57"/>
      <c r="E91" s="57"/>
      <c r="F91" s="40"/>
      <c r="G91" s="46"/>
      <c r="J91" s="49"/>
      <c r="K91" s="52"/>
      <c r="L91" s="25"/>
      <c r="O91" s="42">
        <f t="shared" ref="O91" si="7">K91-G91</f>
        <v>0</v>
      </c>
      <c r="P91" s="15"/>
    </row>
    <row r="92" spans="1:16" ht="16.5" thickTop="1" thickBot="1" x14ac:dyDescent="0.3">
      <c r="A92" s="44"/>
      <c r="B92" s="23"/>
      <c r="C92" s="56"/>
      <c r="D92" s="57"/>
      <c r="E92" s="57"/>
      <c r="F92" s="40"/>
      <c r="G92" s="47"/>
      <c r="J92" s="49"/>
      <c r="K92" s="42"/>
      <c r="L92" s="25"/>
      <c r="O92" s="42"/>
      <c r="P92" s="15"/>
    </row>
    <row r="93" spans="1:16" ht="16.5" thickTop="1" thickBot="1" x14ac:dyDescent="0.3">
      <c r="A93" s="45"/>
      <c r="B93" s="37"/>
      <c r="C93" s="54"/>
      <c r="D93" s="55"/>
      <c r="E93" s="55"/>
      <c r="F93" s="41"/>
      <c r="G93" s="51"/>
      <c r="J93" s="49"/>
      <c r="K93" s="53"/>
      <c r="L93" s="25"/>
      <c r="O93" s="53"/>
      <c r="P93" s="15"/>
    </row>
    <row r="94" spans="1:16" ht="15.75" thickTop="1" x14ac:dyDescent="0.25">
      <c r="A94" s="2"/>
      <c r="P94" s="15"/>
    </row>
    <row r="95" spans="1:16" ht="15.75" x14ac:dyDescent="0.25">
      <c r="A95" s="2"/>
      <c r="D95" s="98" t="s">
        <v>49</v>
      </c>
      <c r="E95" s="98"/>
      <c r="F95" s="99"/>
      <c r="G95" s="27">
        <f>SUM(G64:G93)</f>
        <v>5500</v>
      </c>
      <c r="H95" s="100" t="s">
        <v>49</v>
      </c>
      <c r="I95" s="98"/>
      <c r="J95" s="99"/>
      <c r="K95" s="27">
        <f>SUM(K64:K93)</f>
        <v>6000</v>
      </c>
      <c r="L95" s="25"/>
      <c r="M95" s="26" t="s">
        <v>49</v>
      </c>
      <c r="O95" s="27">
        <f>SUM(O64:O93)</f>
        <v>500</v>
      </c>
      <c r="P95" s="15"/>
    </row>
    <row r="96" spans="1:16" x14ac:dyDescent="0.25">
      <c r="A96" s="2"/>
      <c r="P96" s="15"/>
    </row>
    <row r="97" spans="1:16" ht="15.75" x14ac:dyDescent="0.25">
      <c r="A97" s="2"/>
      <c r="D97" s="12" t="s">
        <v>50</v>
      </c>
      <c r="E97" s="12"/>
      <c r="G97" s="24"/>
      <c r="H97" s="100" t="s">
        <v>51</v>
      </c>
      <c r="I97" s="98"/>
      <c r="J97" s="98"/>
      <c r="K97" s="24"/>
      <c r="L97" s="25"/>
      <c r="P97" s="15"/>
    </row>
    <row r="98" spans="1:16" x14ac:dyDescent="0.25">
      <c r="A98" s="2"/>
      <c r="P98" s="15"/>
    </row>
    <row r="99" spans="1:16" ht="15.75" x14ac:dyDescent="0.25">
      <c r="A99" s="87" t="s">
        <v>52</v>
      </c>
      <c r="B99" s="87"/>
      <c r="C99" s="103"/>
      <c r="D99" s="103"/>
      <c r="E99" s="103"/>
      <c r="F99" s="103"/>
      <c r="G99" s="103"/>
      <c r="J99" s="104"/>
      <c r="K99" s="104"/>
      <c r="L99" s="104"/>
      <c r="M99" s="104"/>
      <c r="N99" s="104"/>
      <c r="O99" s="104"/>
      <c r="P99" s="28"/>
    </row>
    <row r="100" spans="1:16" x14ac:dyDescent="0.25">
      <c r="A100" s="10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84"/>
    </row>
    <row r="101" spans="1:16" x14ac:dyDescent="0.25">
      <c r="A101" s="10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84"/>
    </row>
    <row r="102" spans="1:16" ht="24" x14ac:dyDescent="0.4">
      <c r="A102" s="94" t="s">
        <v>53</v>
      </c>
      <c r="B102" s="94"/>
      <c r="C102" s="94"/>
      <c r="D102" s="66"/>
      <c r="E102" s="84"/>
      <c r="F102" s="91" t="s">
        <v>56</v>
      </c>
      <c r="G102" s="92"/>
      <c r="H102" s="105"/>
      <c r="I102" s="66"/>
      <c r="J102" s="66"/>
      <c r="K102" s="66"/>
      <c r="L102" s="66"/>
      <c r="M102" s="66"/>
      <c r="N102" s="84"/>
      <c r="O102" s="91" t="s">
        <v>56</v>
      </c>
      <c r="P102" s="92"/>
    </row>
    <row r="103" spans="1:16" ht="15.75" x14ac:dyDescent="0.25">
      <c r="A103" s="17" t="s">
        <v>54</v>
      </c>
      <c r="C103" s="3"/>
      <c r="D103" s="66"/>
      <c r="E103" s="84"/>
      <c r="F103" s="2" t="s">
        <v>38</v>
      </c>
      <c r="G103" s="29"/>
      <c r="H103" s="105"/>
      <c r="I103" s="66"/>
      <c r="J103" s="66"/>
      <c r="K103" s="66"/>
      <c r="L103" s="66"/>
      <c r="M103" s="66"/>
      <c r="N103" s="84"/>
      <c r="O103" s="2" t="s">
        <v>38</v>
      </c>
      <c r="P103" s="29"/>
    </row>
    <row r="104" spans="1:16" x14ac:dyDescent="0.25">
      <c r="A104" s="2"/>
      <c r="D104" s="66"/>
      <c r="E104" s="84"/>
      <c r="F104" s="2"/>
      <c r="G104" s="15"/>
      <c r="H104" s="105"/>
      <c r="I104" s="66"/>
      <c r="J104" s="66"/>
      <c r="K104" s="66"/>
      <c r="L104" s="66"/>
      <c r="M104" s="66"/>
      <c r="N104" s="84"/>
      <c r="O104" s="2"/>
      <c r="P104" s="15"/>
    </row>
    <row r="105" spans="1:16" ht="15.75" x14ac:dyDescent="0.25">
      <c r="A105" s="17" t="s">
        <v>55</v>
      </c>
      <c r="C105" s="3"/>
      <c r="D105" s="66"/>
      <c r="E105" s="66"/>
      <c r="F105" s="2" t="s">
        <v>39</v>
      </c>
      <c r="G105" s="29"/>
      <c r="H105" s="66"/>
      <c r="I105" s="66"/>
      <c r="J105" s="66"/>
      <c r="K105" s="66"/>
      <c r="L105" s="66"/>
      <c r="M105" s="66"/>
      <c r="N105" s="66"/>
      <c r="O105" s="2" t="s">
        <v>39</v>
      </c>
      <c r="P105" s="29"/>
    </row>
    <row r="106" spans="1:16" x14ac:dyDescent="0.25">
      <c r="A106" s="4"/>
      <c r="B106" s="5"/>
      <c r="C106" s="5"/>
      <c r="D106" s="5"/>
      <c r="E106" s="5"/>
      <c r="F106" s="4"/>
      <c r="G106" s="30"/>
      <c r="H106" s="5"/>
      <c r="I106" s="5"/>
      <c r="J106" s="5"/>
      <c r="K106" s="5"/>
      <c r="L106" s="5"/>
      <c r="M106" s="5"/>
      <c r="N106" s="5"/>
      <c r="O106" s="4"/>
      <c r="P106" s="30"/>
    </row>
  </sheetData>
  <mergeCells count="192">
    <mergeCell ref="H97:J97"/>
    <mergeCell ref="A99:B99"/>
    <mergeCell ref="C99:G99"/>
    <mergeCell ref="J99:O99"/>
    <mergeCell ref="A100:P101"/>
    <mergeCell ref="A102:C102"/>
    <mergeCell ref="D102:E105"/>
    <mergeCell ref="F102:G102"/>
    <mergeCell ref="H102:N105"/>
    <mergeCell ref="O102:P102"/>
    <mergeCell ref="C62:D62"/>
    <mergeCell ref="F62:G62"/>
    <mergeCell ref="D95:F95"/>
    <mergeCell ref="H95:J95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93:E93"/>
    <mergeCell ref="C84:E84"/>
    <mergeCell ref="C85:E85"/>
    <mergeCell ref="C86:E86"/>
    <mergeCell ref="C87:E87"/>
    <mergeCell ref="O52:P52"/>
    <mergeCell ref="P56:P57"/>
    <mergeCell ref="A59:C59"/>
    <mergeCell ref="J59:M59"/>
    <mergeCell ref="C61:D61"/>
    <mergeCell ref="F61:G61"/>
    <mergeCell ref="C44:D44"/>
    <mergeCell ref="F44:H44"/>
    <mergeCell ref="J44:K44"/>
    <mergeCell ref="M44:O44"/>
    <mergeCell ref="F47:M48"/>
    <mergeCell ref="F49:M49"/>
    <mergeCell ref="C34:D34"/>
    <mergeCell ref="F34:H34"/>
    <mergeCell ref="J34:K34"/>
    <mergeCell ref="M34:O34"/>
    <mergeCell ref="C35:D35"/>
    <mergeCell ref="J35:O35"/>
    <mergeCell ref="J38:K38"/>
    <mergeCell ref="M38:O38"/>
    <mergeCell ref="C39:D39"/>
    <mergeCell ref="F39:H43"/>
    <mergeCell ref="J39:O39"/>
    <mergeCell ref="C40:D40"/>
    <mergeCell ref="J40:K40"/>
    <mergeCell ref="M40:O40"/>
    <mergeCell ref="O29:P29"/>
    <mergeCell ref="F30:I30"/>
    <mergeCell ref="O30:P30"/>
    <mergeCell ref="C32:D32"/>
    <mergeCell ref="F32:H32"/>
    <mergeCell ref="J32:K32"/>
    <mergeCell ref="M32:O32"/>
    <mergeCell ref="F26:I26"/>
    <mergeCell ref="O26:P26"/>
    <mergeCell ref="F27:I27"/>
    <mergeCell ref="O27:P27"/>
    <mergeCell ref="F28:I28"/>
    <mergeCell ref="O28:P28"/>
    <mergeCell ref="O23:P23"/>
    <mergeCell ref="F24:I24"/>
    <mergeCell ref="O24:P24"/>
    <mergeCell ref="F25:I25"/>
    <mergeCell ref="O25:P25"/>
    <mergeCell ref="F20:I20"/>
    <mergeCell ref="O20:P20"/>
    <mergeCell ref="F21:I21"/>
    <mergeCell ref="O21:P21"/>
    <mergeCell ref="F22:I22"/>
    <mergeCell ref="O22:P22"/>
    <mergeCell ref="O14:P14"/>
    <mergeCell ref="F15:I19"/>
    <mergeCell ref="O15:P15"/>
    <mergeCell ref="O16:P16"/>
    <mergeCell ref="O17:P17"/>
    <mergeCell ref="O18:P18"/>
    <mergeCell ref="O19:P19"/>
    <mergeCell ref="F11:I11"/>
    <mergeCell ref="O11:P11"/>
    <mergeCell ref="F12:I12"/>
    <mergeCell ref="O12:P12"/>
    <mergeCell ref="F13:I13"/>
    <mergeCell ref="O13:P13"/>
    <mergeCell ref="O8:P8"/>
    <mergeCell ref="F9:I9"/>
    <mergeCell ref="O9:P9"/>
    <mergeCell ref="F10:I10"/>
    <mergeCell ref="O10:P10"/>
    <mergeCell ref="A2:C2"/>
    <mergeCell ref="F5:I5"/>
    <mergeCell ref="O5:P5"/>
    <mergeCell ref="F6:I6"/>
    <mergeCell ref="O6:P6"/>
    <mergeCell ref="F7:I7"/>
    <mergeCell ref="O7:P7"/>
    <mergeCell ref="L2:P2"/>
    <mergeCell ref="C36:D36"/>
    <mergeCell ref="F36:H36"/>
    <mergeCell ref="J36:K36"/>
    <mergeCell ref="C41:D41"/>
    <mergeCell ref="J41:O41"/>
    <mergeCell ref="C42:D42"/>
    <mergeCell ref="J42:K42"/>
    <mergeCell ref="M42:O42"/>
    <mergeCell ref="C43:D43"/>
    <mergeCell ref="J43:O43"/>
    <mergeCell ref="C38:D38"/>
    <mergeCell ref="F38:H38"/>
    <mergeCell ref="M36:O36"/>
    <mergeCell ref="C37:D37"/>
    <mergeCell ref="F37:H37"/>
    <mergeCell ref="J37:O37"/>
    <mergeCell ref="G64:G66"/>
    <mergeCell ref="K64:K66"/>
    <mergeCell ref="J64:J66"/>
    <mergeCell ref="G67:G69"/>
    <mergeCell ref="J67:J69"/>
    <mergeCell ref="K67:K69"/>
    <mergeCell ref="F8:I8"/>
    <mergeCell ref="F14:I14"/>
    <mergeCell ref="F23:I23"/>
    <mergeCell ref="F29:I29"/>
    <mergeCell ref="F52:M53"/>
    <mergeCell ref="C82:E82"/>
    <mergeCell ref="C83:E83"/>
    <mergeCell ref="A85:A87"/>
    <mergeCell ref="G85:G87"/>
    <mergeCell ref="J85:J87"/>
    <mergeCell ref="O64:O66"/>
    <mergeCell ref="O67:O69"/>
    <mergeCell ref="A82:A84"/>
    <mergeCell ref="G82:G84"/>
    <mergeCell ref="J82:J84"/>
    <mergeCell ref="K82:K84"/>
    <mergeCell ref="O82:O84"/>
    <mergeCell ref="A70:A72"/>
    <mergeCell ref="G70:G72"/>
    <mergeCell ref="J70:J72"/>
    <mergeCell ref="K70:K72"/>
    <mergeCell ref="O70:O72"/>
    <mergeCell ref="A73:A75"/>
    <mergeCell ref="G73:G75"/>
    <mergeCell ref="J73:J75"/>
    <mergeCell ref="K73:K75"/>
    <mergeCell ref="O73:O75"/>
    <mergeCell ref="A64:A66"/>
    <mergeCell ref="A67:A69"/>
    <mergeCell ref="A76:A78"/>
    <mergeCell ref="G76:G78"/>
    <mergeCell ref="J76:J78"/>
    <mergeCell ref="K76:K78"/>
    <mergeCell ref="O76:O78"/>
    <mergeCell ref="A79:A81"/>
    <mergeCell ref="G79:G81"/>
    <mergeCell ref="J79:J81"/>
    <mergeCell ref="K79:K81"/>
    <mergeCell ref="O79:O81"/>
    <mergeCell ref="C78:E78"/>
    <mergeCell ref="C79:E79"/>
    <mergeCell ref="C80:E80"/>
    <mergeCell ref="C81:E81"/>
    <mergeCell ref="K85:K87"/>
    <mergeCell ref="O85:O87"/>
    <mergeCell ref="A88:A90"/>
    <mergeCell ref="G88:G90"/>
    <mergeCell ref="J88:J90"/>
    <mergeCell ref="K88:K90"/>
    <mergeCell ref="O88:O90"/>
    <mergeCell ref="A91:A93"/>
    <mergeCell ref="G91:G93"/>
    <mergeCell ref="J91:J93"/>
    <mergeCell ref="K91:K93"/>
    <mergeCell ref="O91:O93"/>
    <mergeCell ref="C88:E88"/>
    <mergeCell ref="C89:E89"/>
    <mergeCell ref="C90:E90"/>
    <mergeCell ref="C91:E91"/>
    <mergeCell ref="C92:E92"/>
  </mergeCells>
  <dataValidations count="1">
    <dataValidation type="list" allowBlank="1" showInputMessage="1" showErrorMessage="1" sqref="C53" xr:uid="{C1763F5C-B7AA-4EEB-8965-FBCEE35E74AD}">
      <formula1>$W$47:$W$48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5F255F2B66C409D43A737833D66F5" ma:contentTypeVersion="13" ma:contentTypeDescription="Crée un document." ma:contentTypeScope="" ma:versionID="08842a7d14424fab45fa46f0fd2346e6">
  <xsd:schema xmlns:xsd="http://www.w3.org/2001/XMLSchema" xmlns:xs="http://www.w3.org/2001/XMLSchema" xmlns:p="http://schemas.microsoft.com/office/2006/metadata/properties" xmlns:ns2="8eddc163-c0a9-4628-be77-537a13c1992f" xmlns:ns3="1838925d-45a1-4dde-8f30-a224043f44c5" targetNamespace="http://schemas.microsoft.com/office/2006/metadata/properties" ma:root="true" ma:fieldsID="ec39951fd1516f0715014eee4bda9e4f" ns2:_="" ns3:_="">
    <xsd:import namespace="8eddc163-c0a9-4628-be77-537a13c1992f"/>
    <xsd:import namespace="1838925d-45a1-4dde-8f30-a224043f4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c163-c0a9-4628-be77-537a13c19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30ef261-79a6-4d52-adb9-c3d27d5fa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8925d-45a1-4dde-8f30-a224043f44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d4c00-7002-46c7-bf50-54e80f6038f0}" ma:internalName="TaxCatchAll" ma:showField="CatchAllData" ma:web="1838925d-45a1-4dde-8f30-a224043f4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ddc163-c0a9-4628-be77-537a13c1992f">
      <Terms xmlns="http://schemas.microsoft.com/office/infopath/2007/PartnerControls"/>
    </lcf76f155ced4ddcb4097134ff3c332f>
    <TaxCatchAll xmlns="1838925d-45a1-4dde-8f30-a224043f44c5" xsi:nil="true"/>
  </documentManagement>
</p:properties>
</file>

<file path=customXml/itemProps1.xml><?xml version="1.0" encoding="utf-8"?>
<ds:datastoreItem xmlns:ds="http://schemas.openxmlformats.org/officeDocument/2006/customXml" ds:itemID="{354C1E82-A10C-403C-8FB7-43B2AFF652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226160-E426-42FD-8162-6697ECC4AD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c163-c0a9-4628-be77-537a13c1992f"/>
    <ds:schemaRef ds:uri="1838925d-45a1-4dde-8f30-a224043f4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84BF1E-1A37-446D-8033-865660F63C00}">
  <ds:schemaRefs>
    <ds:schemaRef ds:uri="http://schemas.microsoft.com/office/2006/metadata/properties"/>
    <ds:schemaRef ds:uri="http://schemas.microsoft.com/office/infopath/2007/PartnerControls"/>
    <ds:schemaRef ds:uri="8eddc163-c0a9-4628-be77-537a13c1992f"/>
    <ds:schemaRef ds:uri="1838925d-45a1-4dde-8f30-a224043f44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Mourey</dc:creator>
  <cp:lastModifiedBy>Elias Gajo</cp:lastModifiedBy>
  <dcterms:created xsi:type="dcterms:W3CDTF">2026-02-28T10:07:21Z</dcterms:created>
  <dcterms:modified xsi:type="dcterms:W3CDTF">2026-05-13T07:08:42Z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0x010100A5A5F255F2B66C409D43A737833D66F5</vt:lpwstr>
  </property>
  <property fmtid="{D5CDD505-2E9C-101B-9397-08002B2CF9AE}" pid="3" name="MediaServiceImageTags">
    <vt:lpwstr/>
  </property>
</Properties>
</file>