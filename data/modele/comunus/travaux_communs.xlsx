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unus.sharepoint.com/sites/ComunusSICAV/Documents partages/Immobilier/GERANCES/Reportings gérance 2026/"/>
    </mc:Choice>
  </mc:AlternateContent>
  <xr:revisionPtr revIDLastSave="161" documentId="8_{CA3BFD8C-0E94-45AC-A8BE-7727E9316383}" xr6:coauthVersionLast="47" xr6:coauthVersionMax="47" xr10:uidLastSave="{57597FDF-5548-4C16-9747-B78888C96273}"/>
  <bookViews>
    <workbookView xWindow="-38510" yWindow="-110" windowWidth="38620" windowHeight="21100" xr2:uid="{683FEA57-CB7E-4984-AF72-2DAB13BD8F0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" i="1" l="1"/>
  <c r="G71" i="1"/>
  <c r="N67" i="1"/>
  <c r="N64" i="1"/>
  <c r="N61" i="1"/>
  <c r="N58" i="1"/>
  <c r="N55" i="1"/>
  <c r="N52" i="1"/>
  <c r="N49" i="1"/>
  <c r="N46" i="1"/>
  <c r="N43" i="1"/>
  <c r="N71" i="1" s="1"/>
  <c r="N40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<sst xmlns="http://schemas.openxmlformats.org/spreadsheetml/2006/main" count="68" uniqueCount="57">
  <si>
    <t>FICHE DE VALIDATION</t>
  </si>
  <si>
    <t>Propriétaire</t>
  </si>
  <si>
    <t xml:space="preserve">Numéro de dossier </t>
  </si>
  <si>
    <t>Régie</t>
  </si>
  <si>
    <t>Année</t>
  </si>
  <si>
    <t>Date d'émission fiche</t>
  </si>
  <si>
    <t>Travaux sur</t>
  </si>
  <si>
    <t>Immeuble</t>
  </si>
  <si>
    <t>Adresse</t>
  </si>
  <si>
    <t>Description</t>
  </si>
  <si>
    <t>Description des travaux</t>
  </si>
  <si>
    <t>Estimation des travaux</t>
  </si>
  <si>
    <t xml:space="preserve">Commentaires / Remarques régie </t>
  </si>
  <si>
    <t>Type de travaux</t>
  </si>
  <si>
    <t>Date</t>
  </si>
  <si>
    <t>Visa</t>
  </si>
  <si>
    <t>ATTRIBUTION TRAVAUX</t>
  </si>
  <si>
    <t>DÉCOMPTE TRAVAUX</t>
  </si>
  <si>
    <t xml:space="preserve">Début travaux </t>
  </si>
  <si>
    <t>Fin travaux</t>
  </si>
  <si>
    <t>Entreprise</t>
  </si>
  <si>
    <t>Devis TTC</t>
  </si>
  <si>
    <t>Date comptable</t>
  </si>
  <si>
    <t>Facture TTC</t>
  </si>
  <si>
    <t>Différence</t>
  </si>
  <si>
    <t>Total</t>
  </si>
  <si>
    <t xml:space="preserve">Honoraires régie </t>
  </si>
  <si>
    <t>Honoraires régie</t>
  </si>
  <si>
    <t>Commentaires / remarques</t>
  </si>
  <si>
    <t>Communs</t>
  </si>
  <si>
    <t>Chaufferie</t>
  </si>
  <si>
    <t>Toiture</t>
  </si>
  <si>
    <t>Façade</t>
  </si>
  <si>
    <t>Parking/garage</t>
  </si>
  <si>
    <t>Extérieurs</t>
  </si>
  <si>
    <t>Entretien</t>
  </si>
  <si>
    <t>Plus-value</t>
  </si>
  <si>
    <t>Comunus SICAV</t>
  </si>
  <si>
    <t>Commentaire / Remarques Comunus SICAV</t>
  </si>
  <si>
    <t>Visa Comunus SICAV</t>
  </si>
  <si>
    <t>Corps de métier</t>
  </si>
  <si>
    <t>Peinture</t>
  </si>
  <si>
    <t>Parquet</t>
  </si>
  <si>
    <t>Carrelage</t>
  </si>
  <si>
    <t>Electricité</t>
  </si>
  <si>
    <t>Sanitaire</t>
  </si>
  <si>
    <t>Chauffage</t>
  </si>
  <si>
    <t>Menuiserie</t>
  </si>
  <si>
    <t>Cuisine</t>
  </si>
  <si>
    <t>Diagnostic amiante</t>
  </si>
  <si>
    <t>Désamiantage</t>
  </si>
  <si>
    <t xml:space="preserve"> </t>
  </si>
  <si>
    <t>Briaux</t>
  </si>
  <si>
    <t>Scuderi</t>
  </si>
  <si>
    <t>Clot</t>
  </si>
  <si>
    <t>Réfection peinture complète</t>
  </si>
  <si>
    <t>Devis retenu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</si>
</sst>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CHF&quot;_-;\-* #,##0.00\ &quot;CHF&quot;_-;_-* &quot;-&quot;??\ &quot;CHF&quot;_-;_-@_-"/>
    <numFmt numFmtId="164" formatCode="&quot;CHF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8"/>
      <color rgb="FF104861"/>
      <name val="Aptos Narrow"/>
      <family val="2"/>
    </font>
    <font>
      <b/>
      <sz val="12"/>
      <color rgb="FF000000"/>
      <name val="Aptos Narrow"/>
      <family val="2"/>
    </font>
    <font>
      <sz val="11"/>
      <color rgb="FFFFFFFF"/>
      <name val="Aptos Narrow"/>
      <family val="2"/>
    </font>
    <font>
      <b/>
      <sz val="12"/>
      <color rgb="FF153D64"/>
      <name val="Aptos Narrow"/>
      <family val="2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A6C9EC"/>
        <bgColor rgb="FF000000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2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8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3" fillId="0" borderId="3" xfId="0" applyFont="1" applyBorder="1"/>
    <xf numFmtId="0" fontId="4" fillId="0" borderId="0" xfId="0" applyFont="1"/>
    <xf numFmtId="0" fontId="1" fillId="0" borderId="3" xfId="0" applyFont="1" applyBorder="1" applyAlignment="1">
      <alignment vertic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164" fontId="1" fillId="3" borderId="10" xfId="0" applyNumberFormat="1" applyFont="1" applyFill="1" applyBorder="1" applyProtection="1">
      <protection locked="0"/>
    </xf>
    <xf numFmtId="0" fontId="3" fillId="0" borderId="1" xfId="0" applyFont="1" applyBorder="1" applyAlignment="1">
      <alignment horizontal="left" vertical="top"/>
    </xf>
    <xf numFmtId="0" fontId="1" fillId="2" borderId="9" xfId="0" applyFont="1" applyFill="1" applyBorder="1"/>
    <xf numFmtId="0" fontId="1" fillId="0" borderId="13" xfId="0" applyFont="1" applyBorder="1"/>
    <xf numFmtId="0" fontId="1" fillId="0" borderId="13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3" fillId="0" borderId="2" xfId="0" applyFont="1" applyBorder="1" applyAlignment="1">
      <alignment horizontal="left" vertical="top"/>
    </xf>
    <xf numFmtId="0" fontId="6" fillId="0" borderId="1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0" fillId="0" borderId="10" xfId="0" applyBorder="1" applyAlignment="1" applyProtection="1">
      <alignment horizontal="left" vertical="center"/>
      <protection locked="0"/>
    </xf>
    <xf numFmtId="0" fontId="0" fillId="0" borderId="18" xfId="0" applyBorder="1" applyAlignment="1" applyProtection="1">
      <alignment horizontal="left" vertical="center"/>
      <protection locked="0"/>
    </xf>
    <xf numFmtId="0" fontId="0" fillId="0" borderId="9" xfId="0" applyBorder="1"/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" fillId="2" borderId="0" xfId="0" applyFont="1" applyFill="1"/>
    <xf numFmtId="0" fontId="1" fillId="3" borderId="0" xfId="0" applyFont="1" applyFill="1" applyAlignment="1" applyProtection="1">
      <alignment horizontal="center" vertical="center"/>
      <protection locked="0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164" fontId="1" fillId="3" borderId="0" xfId="0" applyNumberFormat="1" applyFont="1" applyFill="1" applyAlignment="1" applyProtection="1">
      <alignment horizontal="center"/>
      <protection locked="0"/>
    </xf>
    <xf numFmtId="0" fontId="3" fillId="0" borderId="0" xfId="0" applyFont="1"/>
    <xf numFmtId="0" fontId="1" fillId="3" borderId="0" xfId="0" applyFont="1" applyFill="1" applyProtection="1">
      <protection locked="0"/>
    </xf>
    <xf numFmtId="0" fontId="2" fillId="0" borderId="0" xfId="0" applyFont="1"/>
    <xf numFmtId="0" fontId="5" fillId="0" borderId="0" xfId="0" applyFont="1"/>
    <xf numFmtId="0" fontId="1" fillId="0" borderId="0" xfId="0" applyFont="1" applyProtection="1">
      <protection locked="0"/>
    </xf>
    <xf numFmtId="0" fontId="6" fillId="0" borderId="6" xfId="0" applyFont="1" applyBorder="1" applyAlignment="1">
      <alignment horizontal="center" vertical="center"/>
    </xf>
    <xf numFmtId="164" fontId="0" fillId="0" borderId="0" xfId="0" applyNumberFormat="1" applyProtection="1">
      <protection locked="0"/>
    </xf>
    <xf numFmtId="0" fontId="3" fillId="0" borderId="0" xfId="0" applyFont="1" applyAlignment="1">
      <alignment horizontal="left"/>
    </xf>
    <xf numFmtId="0" fontId="1" fillId="0" borderId="9" xfId="0" applyFont="1" applyBorder="1" applyProtection="1">
      <protection locked="0"/>
    </xf>
    <xf numFmtId="0" fontId="6" fillId="0" borderId="9" xfId="0" applyFont="1" applyBorder="1" applyAlignment="1">
      <alignment horizontal="center" vertical="center"/>
    </xf>
    <xf numFmtId="164" fontId="0" fillId="0" borderId="9" xfId="0" applyNumberFormat="1" applyBorder="1" applyAlignment="1" applyProtection="1">
      <alignment horizontal="center" vertical="center"/>
      <protection locked="0"/>
    </xf>
    <xf numFmtId="164" fontId="1" fillId="0" borderId="0" xfId="0" applyNumberFormat="1" applyFont="1"/>
    <xf numFmtId="164" fontId="7" fillId="0" borderId="0" xfId="0" applyNumberFormat="1" applyFont="1" applyAlignment="1">
      <alignment horizontal="right"/>
    </xf>
    <xf numFmtId="164" fontId="3" fillId="5" borderId="10" xfId="0" applyNumberFormat="1" applyFont="1" applyFill="1" applyBorder="1" applyAlignment="1">
      <alignment horizontal="center"/>
    </xf>
    <xf numFmtId="0" fontId="1" fillId="2" borderId="5" xfId="0" applyFont="1" applyFill="1" applyBorder="1"/>
    <xf numFmtId="0" fontId="1" fillId="2" borderId="13" xfId="0" applyFont="1" applyFill="1" applyBorder="1"/>
    <xf numFmtId="0" fontId="6" fillId="0" borderId="12" xfId="0" applyFont="1" applyBorder="1" applyAlignment="1">
      <alignment vertical="center"/>
    </xf>
    <xf numFmtId="164" fontId="0" fillId="0" borderId="16" xfId="1" applyNumberFormat="1" applyFont="1" applyBorder="1" applyAlignment="1" applyProtection="1">
      <alignment vertical="center"/>
      <protection locked="0"/>
    </xf>
    <xf numFmtId="164" fontId="0" fillId="0" borderId="20" xfId="1" applyNumberFormat="1" applyFont="1" applyBorder="1" applyAlignment="1" applyProtection="1">
      <alignment vertical="center"/>
      <protection locked="0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0" xfId="0" applyFont="1" applyFill="1" applyAlignment="1" applyProtection="1">
      <alignment horizontal="center" vertical="center"/>
      <protection locked="0"/>
    </xf>
    <xf numFmtId="164" fontId="1" fillId="3" borderId="0" xfId="0" applyNumberFormat="1" applyFont="1" applyFill="1" applyAlignment="1" applyProtection="1">
      <alignment horizontal="center"/>
      <protection locked="0"/>
    </xf>
    <xf numFmtId="0" fontId="6" fillId="0" borderId="1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0" fillId="0" borderId="11" xfId="0" applyBorder="1" applyAlignment="1" applyProtection="1">
      <alignment horizontal="left" vertical="center"/>
      <protection locked="0"/>
    </xf>
    <xf numFmtId="0" fontId="0" fillId="0" borderId="16" xfId="0" applyBorder="1" applyAlignment="1" applyProtection="1">
      <alignment horizontal="left" vertical="center"/>
      <protection locked="0"/>
    </xf>
    <xf numFmtId="0" fontId="0" fillId="0" borderId="19" xfId="0" applyBorder="1" applyAlignment="1" applyProtection="1">
      <alignment horizontal="left" vertical="center"/>
      <protection locked="0"/>
    </xf>
    <xf numFmtId="0" fontId="0" fillId="0" borderId="20" xfId="0" applyBorder="1" applyAlignment="1" applyProtection="1">
      <alignment horizontal="left" vertical="center"/>
      <protection locked="0"/>
    </xf>
    <xf numFmtId="0" fontId="3" fillId="0" borderId="0" xfId="0" applyFont="1" applyAlignment="1">
      <alignment horizontal="center" vertical="center"/>
    </xf>
    <xf numFmtId="0" fontId="1" fillId="3" borderId="0" xfId="0" applyFont="1" applyFill="1" applyAlignment="1" applyProtection="1">
      <alignment horizontal="center" wrapText="1"/>
      <protection locked="0"/>
    </xf>
    <xf numFmtId="0" fontId="1" fillId="2" borderId="0" xfId="0" applyFont="1" applyFill="1" applyAlignment="1">
      <alignment horizontal="center" wrapText="1"/>
    </xf>
    <xf numFmtId="164" fontId="0" fillId="4" borderId="25" xfId="0" applyNumberFormat="1" applyFill="1" applyBorder="1" applyAlignment="1" applyProtection="1">
      <alignment horizontal="center" vertical="center"/>
      <protection locked="0"/>
    </xf>
    <xf numFmtId="164" fontId="0" fillId="4" borderId="23" xfId="0" applyNumberFormat="1" applyFill="1" applyBorder="1" applyAlignment="1" applyProtection="1">
      <alignment horizontal="center" vertical="center"/>
      <protection locked="0"/>
    </xf>
    <xf numFmtId="164" fontId="0" fillId="4" borderId="24" xfId="0" applyNumberFormat="1" applyFill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164" fontId="0" fillId="4" borderId="28" xfId="0" applyNumberFormat="1" applyFill="1" applyBorder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64" fontId="0" fillId="4" borderId="22" xfId="0" applyNumberFormat="1" applyFill="1" applyBorder="1" applyAlignment="1" applyProtection="1">
      <alignment horizontal="center" vertical="center"/>
      <protection locked="0"/>
    </xf>
    <xf numFmtId="164" fontId="0" fillId="4" borderId="27" xfId="0" applyNumberFormat="1" applyFill="1" applyBorder="1" applyAlignment="1" applyProtection="1">
      <alignment horizontal="center" vertical="center"/>
      <protection locked="0"/>
    </xf>
    <xf numFmtId="164" fontId="0" fillId="4" borderId="29" xfId="0" applyNumberFormat="1" applyFill="1" applyBorder="1" applyAlignment="1" applyProtection="1">
      <alignment horizontal="center" vertical="center"/>
      <protection locked="0"/>
    </xf>
    <xf numFmtId="164" fontId="0" fillId="4" borderId="26" xfId="0" applyNumberFormat="1" applyFill="1" applyBorder="1" applyAlignment="1" applyProtection="1">
      <alignment horizontal="center" vertical="center"/>
      <protection locked="0"/>
    </xf>
  </cellXfs>
  <cellStyles count="2">
    <cellStyle name="Monétaire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13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8C2F1-E5A8-4A2A-AFDA-E377EFA3B88E}">
  <dimension ref="A1:V1316"/>
  <sheetViews>
    <sheetView tabSelected="1" topLeftCell="A20" zoomScale="85" zoomScaleNormal="85" workbookViewId="0">
      <selection activeCell="L45" sqref="L45"/>
    </sheetView>
  </sheetViews>
  <sheetFormatPr baseColWidth="10" defaultRowHeight="14.5" x14ac:dyDescent="0.35"/>
  <cols>
    <col min="1" max="1" width="20.1796875" bestFit="1" customWidth="1"/>
    <col min="2" max="2" width="21" customWidth="1"/>
    <col min="3" max="3" width="19.08984375" customWidth="1"/>
    <col min="4" max="5" width="11.453125" customWidth="1"/>
    <col min="6" max="6" width="18.90625" customWidth="1"/>
    <col min="7" max="7" width="27.36328125" customWidth="1"/>
    <col min="8" max="8" width="7.7265625" customWidth="1"/>
    <col min="9" max="9" width="16.81640625" bestFit="1" customWidth="1"/>
    <col min="10" max="10" width="15.26953125" bestFit="1" customWidth="1"/>
    <col min="11" max="11" width="14.08984375" customWidth="1"/>
    <col min="12" max="12" width="17.54296875" customWidth="1"/>
    <col min="13" max="13" width="14.7265625" customWidth="1"/>
    <col min="14" max="14" width="14.81640625" customWidth="1"/>
    <col min="15" max="15" width="5.08984375" style="26" customWidth="1"/>
    <col min="16" max="16" width="12.26953125" bestFit="1" customWidth="1"/>
  </cols>
  <sheetData>
    <row r="1" spans="1:18" s="1" customFormat="1" ht="5.15" customHeight="1" x14ac:dyDescent="0.35">
      <c r="O1" s="3"/>
    </row>
    <row r="2" spans="1:18" s="1" customFormat="1" ht="47" customHeight="1" x14ac:dyDescent="0.35">
      <c r="A2" s="76" t="s">
        <v>0</v>
      </c>
      <c r="B2" s="76"/>
      <c r="C2" s="76"/>
      <c r="D2" s="2"/>
      <c r="E2" s="2"/>
      <c r="F2" s="2"/>
      <c r="G2" s="2"/>
      <c r="H2" s="2"/>
      <c r="I2" s="2"/>
      <c r="J2" s="2"/>
      <c r="K2" s="54" t="e" vm="1">
        <v>#VALUE!</v>
      </c>
      <c r="L2" s="54"/>
      <c r="M2" s="54"/>
      <c r="N2" s="54"/>
      <c r="O2" s="20"/>
    </row>
    <row r="3" spans="1:18" s="1" customFormat="1" x14ac:dyDescent="0.35">
      <c r="A3" s="4"/>
      <c r="O3" s="13"/>
    </row>
    <row r="4" spans="1:18" s="1" customFormat="1" x14ac:dyDescent="0.35">
      <c r="A4" s="4"/>
      <c r="O4" s="13"/>
    </row>
    <row r="5" spans="1:18" s="1" customFormat="1" ht="20.149999999999999" customHeight="1" x14ac:dyDescent="0.35">
      <c r="A5" s="4"/>
      <c r="C5" s="1" t="s">
        <v>1</v>
      </c>
      <c r="F5" s="77" t="s">
        <v>37</v>
      </c>
      <c r="G5" s="77"/>
      <c r="I5" s="1" t="s">
        <v>2</v>
      </c>
      <c r="K5" s="77"/>
      <c r="L5" s="77"/>
      <c r="M5" s="77"/>
      <c r="O5" s="13"/>
    </row>
    <row r="6" spans="1:18" s="1" customFormat="1" ht="5.15" customHeight="1" x14ac:dyDescent="0.35">
      <c r="A6" s="4"/>
      <c r="F6" s="71"/>
      <c r="G6" s="71"/>
      <c r="K6" s="71"/>
      <c r="L6" s="71"/>
      <c r="M6" s="71"/>
      <c r="O6" s="13"/>
    </row>
    <row r="7" spans="1:18" s="1" customFormat="1" ht="20.149999999999999" customHeight="1" x14ac:dyDescent="0.35">
      <c r="A7" s="4"/>
      <c r="C7" s="1" t="s">
        <v>3</v>
      </c>
      <c r="F7" s="77"/>
      <c r="G7" s="77"/>
      <c r="I7" s="1" t="s">
        <v>4</v>
      </c>
      <c r="K7" s="55"/>
      <c r="L7" s="55"/>
      <c r="M7" s="55"/>
      <c r="O7" s="13"/>
    </row>
    <row r="8" spans="1:18" s="1" customFormat="1" ht="5.15" customHeight="1" x14ac:dyDescent="0.35">
      <c r="A8" s="4"/>
      <c r="F8" s="71"/>
      <c r="G8" s="71"/>
      <c r="K8" s="71"/>
      <c r="L8" s="71"/>
      <c r="M8" s="71"/>
      <c r="O8" s="13"/>
    </row>
    <row r="9" spans="1:18" s="1" customFormat="1" ht="20.149999999999999" customHeight="1" x14ac:dyDescent="0.35">
      <c r="A9" s="4"/>
      <c r="C9" s="1" t="s">
        <v>5</v>
      </c>
      <c r="F9" s="55"/>
      <c r="G9" s="55"/>
      <c r="I9" s="1" t="s">
        <v>6</v>
      </c>
      <c r="K9" s="55"/>
      <c r="L9" s="55"/>
      <c r="M9" s="55"/>
      <c r="O9" s="13"/>
    </row>
    <row r="10" spans="1:18" s="1" customFormat="1" ht="5.15" customHeight="1" x14ac:dyDescent="0.35">
      <c r="A10" s="5"/>
      <c r="B10" s="6"/>
      <c r="C10" s="6"/>
      <c r="D10" s="6"/>
      <c r="E10" s="6"/>
      <c r="F10" s="53"/>
      <c r="G10" s="53"/>
      <c r="H10" s="6"/>
      <c r="I10" s="6"/>
      <c r="J10" s="6"/>
      <c r="K10" s="53"/>
      <c r="L10" s="53"/>
      <c r="M10" s="53"/>
      <c r="N10" s="6"/>
      <c r="O10" s="13"/>
    </row>
    <row r="11" spans="1:18" s="1" customFormat="1" ht="5.15" customHeight="1" x14ac:dyDescent="0.35">
      <c r="A11" s="4"/>
      <c r="F11" s="54"/>
      <c r="G11" s="54"/>
      <c r="K11" s="54"/>
      <c r="L11" s="54"/>
      <c r="M11" s="54"/>
      <c r="O11" s="13"/>
    </row>
    <row r="12" spans="1:18" s="1" customFormat="1" ht="20.149999999999999" customHeight="1" x14ac:dyDescent="0.4">
      <c r="A12" s="7" t="s">
        <v>7</v>
      </c>
      <c r="C12" s="1" t="s">
        <v>8</v>
      </c>
      <c r="F12" s="55"/>
      <c r="G12" s="55"/>
      <c r="K12" s="75"/>
      <c r="L12" s="75"/>
      <c r="M12" s="75"/>
      <c r="O12" s="13"/>
    </row>
    <row r="13" spans="1:18" s="1" customFormat="1" ht="5.15" customHeight="1" x14ac:dyDescent="0.35">
      <c r="A13" s="5"/>
      <c r="B13" s="6"/>
      <c r="C13" s="6"/>
      <c r="D13" s="6"/>
      <c r="E13" s="6"/>
      <c r="F13" s="53"/>
      <c r="G13" s="53"/>
      <c r="H13" s="6"/>
      <c r="I13" s="6"/>
      <c r="J13" s="6"/>
      <c r="K13" s="53"/>
      <c r="L13" s="53"/>
      <c r="M13" s="53"/>
      <c r="N13" s="6"/>
      <c r="O13" s="13"/>
    </row>
    <row r="14" spans="1:18" s="1" customFormat="1" ht="20.149999999999999" customHeight="1" x14ac:dyDescent="0.35">
      <c r="A14" s="4"/>
      <c r="O14" s="13"/>
    </row>
    <row r="15" spans="1:18" s="1" customFormat="1" ht="20.149999999999999" customHeight="1" x14ac:dyDescent="0.35">
      <c r="A15" s="4"/>
      <c r="C15" s="63" t="s">
        <v>9</v>
      </c>
      <c r="D15" s="63"/>
      <c r="E15" s="31"/>
      <c r="O15" s="13"/>
      <c r="R15" s="8" t="s">
        <v>29</v>
      </c>
    </row>
    <row r="16" spans="1:18" s="1" customFormat="1" ht="10" customHeight="1" x14ac:dyDescent="0.35">
      <c r="A16" s="4"/>
      <c r="O16" s="13"/>
      <c r="R16" s="8" t="s">
        <v>30</v>
      </c>
    </row>
    <row r="17" spans="1:18" s="1" customFormat="1" ht="34.5" customHeight="1" x14ac:dyDescent="0.35">
      <c r="A17" s="9" t="s">
        <v>10</v>
      </c>
      <c r="B17" s="32"/>
      <c r="C17" s="55"/>
      <c r="D17" s="55"/>
      <c r="E17" s="30"/>
      <c r="O17" s="13"/>
      <c r="R17" s="8" t="s">
        <v>31</v>
      </c>
    </row>
    <row r="18" spans="1:18" s="1" customFormat="1" ht="5.15" customHeight="1" x14ac:dyDescent="0.35">
      <c r="A18" s="4"/>
      <c r="C18" s="75"/>
      <c r="D18" s="75"/>
      <c r="E18" s="27"/>
      <c r="O18" s="13"/>
      <c r="R18" s="8" t="s">
        <v>32</v>
      </c>
    </row>
    <row r="19" spans="1:18" s="1" customFormat="1" ht="20.149999999999999" customHeight="1" x14ac:dyDescent="0.35">
      <c r="A19" s="9" t="s">
        <v>11</v>
      </c>
      <c r="C19" s="56"/>
      <c r="D19" s="56"/>
      <c r="E19" s="33"/>
      <c r="O19" s="13"/>
      <c r="R19" s="8" t="s">
        <v>33</v>
      </c>
    </row>
    <row r="20" spans="1:18" s="1" customFormat="1" ht="20.149999999999999" customHeight="1" x14ac:dyDescent="0.35">
      <c r="A20" s="4"/>
      <c r="O20" s="13"/>
      <c r="R20" s="8" t="s">
        <v>34</v>
      </c>
    </row>
    <row r="21" spans="1:18" s="1" customFormat="1" ht="20.149999999999999" customHeight="1" x14ac:dyDescent="0.4">
      <c r="A21" s="4"/>
      <c r="F21" s="34" t="s">
        <v>12</v>
      </c>
      <c r="G21" s="34"/>
      <c r="H21" s="34"/>
      <c r="I21" s="34"/>
      <c r="J21" s="34"/>
      <c r="O21" s="13"/>
    </row>
    <row r="22" spans="1:18" s="1" customFormat="1" ht="5.15" customHeight="1" x14ac:dyDescent="0.35">
      <c r="A22" s="4"/>
      <c r="F22" s="75"/>
      <c r="G22" s="75"/>
      <c r="H22" s="75"/>
      <c r="I22" s="75"/>
      <c r="J22" s="75"/>
      <c r="O22" s="13"/>
    </row>
    <row r="23" spans="1:18" s="1" customFormat="1" ht="20.149999999999999" customHeight="1" x14ac:dyDescent="0.35">
      <c r="A23" s="4"/>
      <c r="F23" s="55"/>
      <c r="G23" s="55"/>
      <c r="H23" s="55"/>
      <c r="I23" s="55"/>
      <c r="J23" s="55"/>
      <c r="O23" s="13"/>
      <c r="Q23" s="8" t="s">
        <v>35</v>
      </c>
    </row>
    <row r="24" spans="1:18" s="1" customFormat="1" ht="20.149999999999999" customHeight="1" x14ac:dyDescent="0.35">
      <c r="A24" s="4"/>
      <c r="F24" s="55"/>
      <c r="G24" s="55"/>
      <c r="H24" s="55"/>
      <c r="I24" s="55"/>
      <c r="J24" s="55"/>
      <c r="O24" s="13"/>
      <c r="Q24" s="8" t="s">
        <v>36</v>
      </c>
    </row>
    <row r="25" spans="1:18" s="1" customFormat="1" ht="20.149999999999999" customHeight="1" x14ac:dyDescent="0.35">
      <c r="A25" s="4"/>
      <c r="F25" s="75"/>
      <c r="G25" s="75"/>
      <c r="H25" s="75"/>
      <c r="I25" s="75"/>
      <c r="J25" s="75"/>
      <c r="O25" s="13"/>
    </row>
    <row r="26" spans="1:18" s="1" customFormat="1" ht="20.149999999999999" customHeight="1" x14ac:dyDescent="0.4">
      <c r="A26" s="4"/>
      <c r="F26" s="34" t="s">
        <v>38</v>
      </c>
      <c r="G26" s="34"/>
      <c r="H26" s="34"/>
      <c r="I26" s="34"/>
      <c r="J26" s="34"/>
      <c r="O26" s="13"/>
    </row>
    <row r="27" spans="1:18" s="1" customFormat="1" ht="5.15" customHeight="1" x14ac:dyDescent="0.35">
      <c r="A27" s="4"/>
      <c r="F27" s="75"/>
      <c r="G27" s="75"/>
      <c r="H27" s="75"/>
      <c r="I27" s="75"/>
      <c r="J27" s="75"/>
      <c r="O27" s="13"/>
    </row>
    <row r="28" spans="1:18" s="1" customFormat="1" ht="20.149999999999999" customHeight="1" x14ac:dyDescent="0.35">
      <c r="A28" s="4"/>
      <c r="F28" s="77"/>
      <c r="G28" s="77"/>
      <c r="H28" s="77"/>
      <c r="I28" s="77"/>
      <c r="J28" s="77"/>
      <c r="L28" s="10"/>
      <c r="M28" s="15" t="s">
        <v>39</v>
      </c>
      <c r="N28" s="3"/>
      <c r="O28" s="13"/>
    </row>
    <row r="29" spans="1:18" s="1" customFormat="1" ht="20.149999999999999" customHeight="1" x14ac:dyDescent="0.4">
      <c r="A29" s="7" t="s">
        <v>13</v>
      </c>
      <c r="C29" s="35"/>
      <c r="F29" s="77"/>
      <c r="G29" s="77"/>
      <c r="H29" s="77"/>
      <c r="I29" s="77"/>
      <c r="J29" s="77"/>
      <c r="L29" s="4" t="s">
        <v>14</v>
      </c>
      <c r="M29" s="29"/>
      <c r="N29" s="13"/>
      <c r="O29" s="13"/>
    </row>
    <row r="30" spans="1:18" s="1" customFormat="1" ht="5.15" customHeight="1" x14ac:dyDescent="0.35">
      <c r="A30" s="4"/>
      <c r="L30" s="4"/>
      <c r="N30" s="13"/>
      <c r="O30" s="13"/>
    </row>
    <row r="31" spans="1:18" s="1" customFormat="1" ht="20.149999999999999" customHeight="1" x14ac:dyDescent="0.35">
      <c r="A31" s="4"/>
      <c r="L31" s="4" t="s">
        <v>15</v>
      </c>
      <c r="M31" s="29"/>
      <c r="N31" s="13"/>
      <c r="O31" s="13"/>
    </row>
    <row r="32" spans="1:18" s="1" customFormat="1" ht="5.15" customHeight="1" x14ac:dyDescent="0.35">
      <c r="A32" s="4"/>
      <c r="L32" s="4"/>
      <c r="N32" s="13"/>
      <c r="O32" s="13"/>
    </row>
    <row r="33" spans="1:16" s="1" customFormat="1" ht="6" customHeight="1" thickBot="1" x14ac:dyDescent="0.4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1"/>
      <c r="P33" s="4"/>
    </row>
    <row r="34" spans="1:16" s="1" customFormat="1" ht="5.15" customHeight="1" x14ac:dyDescent="0.35">
      <c r="A34" s="4"/>
      <c r="O34" s="13"/>
    </row>
    <row r="35" spans="1:16" s="1" customFormat="1" ht="20.149999999999999" customHeight="1" x14ac:dyDescent="0.55000000000000004">
      <c r="A35" s="72" t="s">
        <v>16</v>
      </c>
      <c r="B35" s="72"/>
      <c r="C35" s="72"/>
      <c r="I35" s="36"/>
      <c r="J35" s="36" t="s">
        <v>17</v>
      </c>
      <c r="O35" s="13"/>
    </row>
    <row r="36" spans="1:16" s="1" customFormat="1" ht="20.149999999999999" customHeight="1" x14ac:dyDescent="0.35">
      <c r="A36" s="4"/>
      <c r="O36" s="13"/>
    </row>
    <row r="37" spans="1:16" s="1" customFormat="1" ht="19.5" customHeight="1" x14ac:dyDescent="0.4">
      <c r="A37" s="4"/>
      <c r="H37" s="37"/>
      <c r="I37" s="38"/>
      <c r="J37" s="37" t="s">
        <v>18</v>
      </c>
      <c r="K37" s="35"/>
      <c r="L37" s="38"/>
      <c r="M37" s="37" t="s">
        <v>19</v>
      </c>
      <c r="N37" s="35"/>
      <c r="O37" s="42"/>
    </row>
    <row r="38" spans="1:16" s="1" customFormat="1" ht="15" customHeight="1" x14ac:dyDescent="0.35">
      <c r="A38" s="4"/>
      <c r="O38" s="13"/>
    </row>
    <row r="39" spans="1:16" ht="16.5" thickBot="1" x14ac:dyDescent="0.4">
      <c r="A39" s="22" t="s">
        <v>40</v>
      </c>
      <c r="B39" s="22" t="s">
        <v>20</v>
      </c>
      <c r="C39" s="57" t="s">
        <v>10</v>
      </c>
      <c r="D39" s="58"/>
      <c r="E39" s="58"/>
      <c r="F39" s="50" t="s">
        <v>21</v>
      </c>
      <c r="G39" s="23" t="s">
        <v>56</v>
      </c>
      <c r="J39" s="23" t="s">
        <v>22</v>
      </c>
      <c r="K39" s="23" t="s">
        <v>23</v>
      </c>
      <c r="L39" s="28"/>
      <c r="N39" s="39" t="s">
        <v>24</v>
      </c>
      <c r="O39" s="43"/>
    </row>
    <row r="40" spans="1:16" ht="16" customHeight="1" thickTop="1" thickBot="1" x14ac:dyDescent="0.4">
      <c r="A40" s="78" t="s">
        <v>41</v>
      </c>
      <c r="B40" s="24" t="s">
        <v>52</v>
      </c>
      <c r="C40" s="59" t="s">
        <v>55</v>
      </c>
      <c r="D40" s="60"/>
      <c r="E40" s="60"/>
      <c r="F40" s="51">
        <v>2500</v>
      </c>
      <c r="G40" s="81">
        <v>2500</v>
      </c>
      <c r="J40" s="69"/>
      <c r="K40" s="82">
        <v>3500</v>
      </c>
      <c r="L40" s="40"/>
      <c r="N40" s="82">
        <f>K40-G40</f>
        <v>1000</v>
      </c>
      <c r="O40" s="44"/>
    </row>
    <row r="41" spans="1:16" ht="15.5" thickTop="1" thickBot="1" x14ac:dyDescent="0.4">
      <c r="A41" s="79"/>
      <c r="B41" s="24" t="s">
        <v>53</v>
      </c>
      <c r="C41" s="59" t="s">
        <v>55</v>
      </c>
      <c r="D41" s="60"/>
      <c r="E41" s="60"/>
      <c r="F41" s="51">
        <v>2650</v>
      </c>
      <c r="G41" s="67"/>
      <c r="J41" s="69"/>
      <c r="K41" s="70"/>
      <c r="L41" s="40"/>
      <c r="N41" s="70"/>
      <c r="O41" s="44"/>
    </row>
    <row r="42" spans="1:16" ht="15.5" thickTop="1" thickBot="1" x14ac:dyDescent="0.4">
      <c r="A42" s="80"/>
      <c r="B42" s="25" t="s">
        <v>54</v>
      </c>
      <c r="C42" s="61" t="s">
        <v>55</v>
      </c>
      <c r="D42" s="62"/>
      <c r="E42" s="62"/>
      <c r="F42" s="52">
        <v>2700</v>
      </c>
      <c r="G42" s="68"/>
      <c r="J42" s="69"/>
      <c r="K42" s="70"/>
      <c r="L42" s="40"/>
      <c r="N42" s="70"/>
      <c r="O42" s="44"/>
    </row>
    <row r="43" spans="1:16" ht="16" customHeight="1" thickTop="1" thickBot="1" x14ac:dyDescent="0.4">
      <c r="A43" s="78" t="s">
        <v>42</v>
      </c>
      <c r="B43" s="24"/>
      <c r="C43" s="59"/>
      <c r="D43" s="60"/>
      <c r="E43" s="60"/>
      <c r="F43" s="51"/>
      <c r="G43" s="66"/>
      <c r="J43" s="69"/>
      <c r="K43" s="70"/>
      <c r="L43" s="40"/>
      <c r="N43" s="70">
        <f>K43-G43</f>
        <v>0</v>
      </c>
      <c r="O43" s="44"/>
    </row>
    <row r="44" spans="1:16" ht="15.5" thickTop="1" thickBot="1" x14ac:dyDescent="0.4">
      <c r="A44" s="79"/>
      <c r="B44" s="24"/>
      <c r="C44" s="59"/>
      <c r="D44" s="60"/>
      <c r="E44" s="60"/>
      <c r="F44" s="51"/>
      <c r="G44" s="67"/>
      <c r="J44" s="69"/>
      <c r="K44" s="70"/>
      <c r="L44" s="40"/>
      <c r="N44" s="70"/>
      <c r="O44" s="44"/>
    </row>
    <row r="45" spans="1:16" ht="15.5" thickTop="1" thickBot="1" x14ac:dyDescent="0.4">
      <c r="A45" s="80"/>
      <c r="B45" s="25"/>
      <c r="C45" s="61"/>
      <c r="D45" s="62"/>
      <c r="E45" s="62"/>
      <c r="F45" s="52"/>
      <c r="G45" s="68"/>
      <c r="J45" s="69"/>
      <c r="K45" s="70"/>
      <c r="L45" s="40"/>
      <c r="N45" s="70"/>
      <c r="O45" s="44"/>
    </row>
    <row r="46" spans="1:16" ht="16" customHeight="1" thickTop="1" thickBot="1" x14ac:dyDescent="0.4">
      <c r="A46" s="78" t="s">
        <v>43</v>
      </c>
      <c r="B46" s="24"/>
      <c r="C46" s="59"/>
      <c r="D46" s="60"/>
      <c r="E46" s="60"/>
      <c r="F46" s="51"/>
      <c r="G46" s="66"/>
      <c r="J46" s="69"/>
      <c r="K46" s="70"/>
      <c r="L46" s="40"/>
      <c r="N46" s="70">
        <f>K46-G46</f>
        <v>0</v>
      </c>
      <c r="O46" s="44"/>
    </row>
    <row r="47" spans="1:16" ht="15.5" thickTop="1" thickBot="1" x14ac:dyDescent="0.4">
      <c r="A47" s="79"/>
      <c r="B47" s="24"/>
      <c r="C47" s="59"/>
      <c r="D47" s="60"/>
      <c r="E47" s="60"/>
      <c r="F47" s="51"/>
      <c r="G47" s="67"/>
      <c r="J47" s="69"/>
      <c r="K47" s="70"/>
      <c r="L47" s="40"/>
      <c r="N47" s="70"/>
      <c r="O47" s="44"/>
    </row>
    <row r="48" spans="1:16" ht="15.5" thickTop="1" thickBot="1" x14ac:dyDescent="0.4">
      <c r="A48" s="80"/>
      <c r="B48" s="25"/>
      <c r="C48" s="61"/>
      <c r="D48" s="62"/>
      <c r="E48" s="62"/>
      <c r="F48" s="52"/>
      <c r="G48" s="68"/>
      <c r="J48" s="69"/>
      <c r="K48" s="70"/>
      <c r="L48" s="40"/>
      <c r="N48" s="70"/>
      <c r="O48" s="44"/>
    </row>
    <row r="49" spans="1:22" ht="16" customHeight="1" thickTop="1" thickBot="1" x14ac:dyDescent="0.4">
      <c r="A49" s="78" t="s">
        <v>44</v>
      </c>
      <c r="B49" s="24"/>
      <c r="C49" s="59"/>
      <c r="D49" s="60"/>
      <c r="E49" s="60"/>
      <c r="F49" s="51"/>
      <c r="G49" s="66"/>
      <c r="J49" s="69"/>
      <c r="K49" s="70"/>
      <c r="L49" s="40"/>
      <c r="N49" s="70">
        <f>K49-G49</f>
        <v>0</v>
      </c>
      <c r="O49" s="44"/>
    </row>
    <row r="50" spans="1:22" ht="15.5" thickTop="1" thickBot="1" x14ac:dyDescent="0.4">
      <c r="A50" s="79"/>
      <c r="B50" s="24"/>
      <c r="C50" s="59"/>
      <c r="D50" s="60"/>
      <c r="E50" s="60"/>
      <c r="F50" s="51"/>
      <c r="G50" s="67"/>
      <c r="J50" s="69"/>
      <c r="K50" s="70"/>
      <c r="L50" s="40"/>
      <c r="N50" s="70"/>
      <c r="O50" s="44"/>
    </row>
    <row r="51" spans="1:22" ht="15.5" thickTop="1" thickBot="1" x14ac:dyDescent="0.4">
      <c r="A51" s="80"/>
      <c r="B51" s="25"/>
      <c r="C51" s="61"/>
      <c r="D51" s="62"/>
      <c r="E51" s="62"/>
      <c r="F51" s="52"/>
      <c r="G51" s="68"/>
      <c r="J51" s="69"/>
      <c r="K51" s="70"/>
      <c r="L51" s="40"/>
      <c r="N51" s="70"/>
      <c r="O51" s="44"/>
      <c r="V51" t="s">
        <v>51</v>
      </c>
    </row>
    <row r="52" spans="1:22" ht="16" customHeight="1" thickTop="1" thickBot="1" x14ac:dyDescent="0.4">
      <c r="A52" s="78" t="s">
        <v>45</v>
      </c>
      <c r="B52" s="24"/>
      <c r="C52" s="59"/>
      <c r="D52" s="60"/>
      <c r="E52" s="60"/>
      <c r="F52" s="51"/>
      <c r="G52" s="66"/>
      <c r="J52" s="69"/>
      <c r="K52" s="70"/>
      <c r="L52" s="40"/>
      <c r="N52" s="70">
        <f>K52-G52</f>
        <v>0</v>
      </c>
      <c r="O52" s="44"/>
    </row>
    <row r="53" spans="1:22" ht="15.5" thickTop="1" thickBot="1" x14ac:dyDescent="0.4">
      <c r="A53" s="79"/>
      <c r="B53" s="24"/>
      <c r="C53" s="59"/>
      <c r="D53" s="60"/>
      <c r="E53" s="60"/>
      <c r="F53" s="51"/>
      <c r="G53" s="67"/>
      <c r="J53" s="69"/>
      <c r="K53" s="70"/>
      <c r="L53" s="40"/>
      <c r="N53" s="70"/>
      <c r="O53" s="44"/>
    </row>
    <row r="54" spans="1:22" ht="15.5" thickTop="1" thickBot="1" x14ac:dyDescent="0.4">
      <c r="A54" s="80"/>
      <c r="B54" s="25"/>
      <c r="C54" s="61"/>
      <c r="D54" s="62"/>
      <c r="E54" s="62"/>
      <c r="F54" s="52"/>
      <c r="G54" s="68"/>
      <c r="J54" s="69"/>
      <c r="K54" s="70"/>
      <c r="L54" s="40"/>
      <c r="N54" s="70"/>
      <c r="O54" s="44"/>
    </row>
    <row r="55" spans="1:22" ht="16" customHeight="1" thickTop="1" thickBot="1" x14ac:dyDescent="0.4">
      <c r="A55" s="78" t="s">
        <v>46</v>
      </c>
      <c r="B55" s="24"/>
      <c r="C55" s="59"/>
      <c r="D55" s="60"/>
      <c r="E55" s="60"/>
      <c r="F55" s="51"/>
      <c r="G55" s="66"/>
      <c r="J55" s="69"/>
      <c r="K55" s="70"/>
      <c r="L55" s="40"/>
      <c r="N55" s="70">
        <f>K55-G55</f>
        <v>0</v>
      </c>
      <c r="O55" s="44"/>
    </row>
    <row r="56" spans="1:22" ht="15.5" thickTop="1" thickBot="1" x14ac:dyDescent="0.4">
      <c r="A56" s="79"/>
      <c r="B56" s="24"/>
      <c r="C56" s="59"/>
      <c r="D56" s="60"/>
      <c r="E56" s="60"/>
      <c r="F56" s="51"/>
      <c r="G56" s="67"/>
      <c r="J56" s="69"/>
      <c r="K56" s="70"/>
      <c r="L56" s="40"/>
      <c r="N56" s="70"/>
      <c r="O56" s="44"/>
    </row>
    <row r="57" spans="1:22" ht="15.5" thickTop="1" thickBot="1" x14ac:dyDescent="0.4">
      <c r="A57" s="80"/>
      <c r="B57" s="25"/>
      <c r="C57" s="61"/>
      <c r="D57" s="62"/>
      <c r="E57" s="62"/>
      <c r="F57" s="52"/>
      <c r="G57" s="68"/>
      <c r="J57" s="69"/>
      <c r="K57" s="70"/>
      <c r="L57" s="40"/>
      <c r="N57" s="70"/>
      <c r="O57" s="44"/>
    </row>
    <row r="58" spans="1:22" ht="16" customHeight="1" thickTop="1" thickBot="1" x14ac:dyDescent="0.4">
      <c r="A58" s="78" t="s">
        <v>47</v>
      </c>
      <c r="B58" s="24"/>
      <c r="C58" s="59"/>
      <c r="D58" s="60"/>
      <c r="E58" s="60"/>
      <c r="F58" s="51"/>
      <c r="G58" s="66"/>
      <c r="J58" s="69"/>
      <c r="K58" s="70"/>
      <c r="L58" s="40"/>
      <c r="N58" s="70">
        <f>K58-G58</f>
        <v>0</v>
      </c>
      <c r="O58" s="44"/>
    </row>
    <row r="59" spans="1:22" ht="15.5" thickTop="1" thickBot="1" x14ac:dyDescent="0.4">
      <c r="A59" s="79"/>
      <c r="B59" s="24"/>
      <c r="C59" s="59"/>
      <c r="D59" s="60"/>
      <c r="E59" s="60"/>
      <c r="F59" s="51"/>
      <c r="G59" s="67"/>
      <c r="J59" s="69"/>
      <c r="K59" s="70"/>
      <c r="L59" s="40"/>
      <c r="N59" s="70"/>
      <c r="O59" s="44"/>
    </row>
    <row r="60" spans="1:22" ht="15.5" thickTop="1" thickBot="1" x14ac:dyDescent="0.4">
      <c r="A60" s="80"/>
      <c r="B60" s="25"/>
      <c r="C60" s="61"/>
      <c r="D60" s="62"/>
      <c r="E60" s="62"/>
      <c r="F60" s="52"/>
      <c r="G60" s="68"/>
      <c r="J60" s="69"/>
      <c r="K60" s="70"/>
      <c r="L60" s="40"/>
      <c r="N60" s="70"/>
      <c r="O60" s="44"/>
    </row>
    <row r="61" spans="1:22" ht="16" customHeight="1" thickTop="1" thickBot="1" x14ac:dyDescent="0.4">
      <c r="A61" s="78" t="s">
        <v>48</v>
      </c>
      <c r="B61" s="24"/>
      <c r="C61" s="59"/>
      <c r="D61" s="60"/>
      <c r="E61" s="60"/>
      <c r="F61" s="51"/>
      <c r="G61" s="66"/>
      <c r="J61" s="69"/>
      <c r="K61" s="70"/>
      <c r="L61" s="40"/>
      <c r="N61" s="70">
        <f>K61-G61</f>
        <v>0</v>
      </c>
      <c r="O61" s="44"/>
    </row>
    <row r="62" spans="1:22" ht="15.5" thickTop="1" thickBot="1" x14ac:dyDescent="0.4">
      <c r="A62" s="79"/>
      <c r="B62" s="24"/>
      <c r="C62" s="59"/>
      <c r="D62" s="60"/>
      <c r="E62" s="60"/>
      <c r="F62" s="51"/>
      <c r="G62" s="67"/>
      <c r="J62" s="69"/>
      <c r="K62" s="70"/>
      <c r="L62" s="40"/>
      <c r="N62" s="70"/>
      <c r="O62" s="44"/>
    </row>
    <row r="63" spans="1:22" ht="15.5" thickTop="1" thickBot="1" x14ac:dyDescent="0.4">
      <c r="A63" s="80"/>
      <c r="B63" s="25"/>
      <c r="C63" s="61"/>
      <c r="D63" s="62"/>
      <c r="E63" s="62"/>
      <c r="F63" s="52"/>
      <c r="G63" s="68"/>
      <c r="J63" s="69"/>
      <c r="K63" s="70"/>
      <c r="L63" s="40"/>
      <c r="N63" s="70"/>
      <c r="O63" s="44"/>
    </row>
    <row r="64" spans="1:22" ht="16" customHeight="1" thickTop="1" thickBot="1" x14ac:dyDescent="0.4">
      <c r="A64" s="78" t="s">
        <v>49</v>
      </c>
      <c r="B64" s="24"/>
      <c r="C64" s="59"/>
      <c r="D64" s="60"/>
      <c r="E64" s="60"/>
      <c r="F64" s="51"/>
      <c r="G64" s="66"/>
      <c r="J64" s="69"/>
      <c r="K64" s="70"/>
      <c r="L64" s="40"/>
      <c r="N64" s="70">
        <f>K64-G64</f>
        <v>0</v>
      </c>
      <c r="O64" s="44"/>
    </row>
    <row r="65" spans="1:15" ht="15.5" thickTop="1" thickBot="1" x14ac:dyDescent="0.4">
      <c r="A65" s="79"/>
      <c r="B65" s="24"/>
      <c r="C65" s="59"/>
      <c r="D65" s="60"/>
      <c r="E65" s="60"/>
      <c r="F65" s="51"/>
      <c r="G65" s="67"/>
      <c r="J65" s="69"/>
      <c r="K65" s="70"/>
      <c r="L65" s="40"/>
      <c r="N65" s="70"/>
      <c r="O65" s="44"/>
    </row>
    <row r="66" spans="1:15" ht="15.5" thickTop="1" thickBot="1" x14ac:dyDescent="0.4">
      <c r="A66" s="80"/>
      <c r="B66" s="25"/>
      <c r="C66" s="61"/>
      <c r="D66" s="62"/>
      <c r="E66" s="62"/>
      <c r="F66" s="52"/>
      <c r="G66" s="68"/>
      <c r="J66" s="69"/>
      <c r="K66" s="70"/>
      <c r="L66" s="40"/>
      <c r="N66" s="70"/>
      <c r="O66" s="44"/>
    </row>
    <row r="67" spans="1:15" ht="16" customHeight="1" thickTop="1" thickBot="1" x14ac:dyDescent="0.4">
      <c r="A67" s="78" t="s">
        <v>50</v>
      </c>
      <c r="B67" s="24"/>
      <c r="C67" s="59"/>
      <c r="D67" s="60"/>
      <c r="E67" s="60"/>
      <c r="F67" s="51"/>
      <c r="G67" s="66"/>
      <c r="J67" s="69"/>
      <c r="K67" s="70"/>
      <c r="L67" s="40"/>
      <c r="N67" s="70">
        <f>K67-G67</f>
        <v>0</v>
      </c>
      <c r="O67" s="44"/>
    </row>
    <row r="68" spans="1:15" ht="15.5" thickTop="1" thickBot="1" x14ac:dyDescent="0.4">
      <c r="A68" s="79"/>
      <c r="B68" s="24"/>
      <c r="C68" s="59"/>
      <c r="D68" s="60"/>
      <c r="E68" s="60"/>
      <c r="F68" s="51"/>
      <c r="G68" s="67"/>
      <c r="J68" s="69"/>
      <c r="K68" s="70"/>
      <c r="L68" s="40"/>
      <c r="N68" s="70"/>
      <c r="O68" s="44"/>
    </row>
    <row r="69" spans="1:15" ht="15.5" thickTop="1" thickBot="1" x14ac:dyDescent="0.4">
      <c r="A69" s="80"/>
      <c r="B69" s="25"/>
      <c r="C69" s="61"/>
      <c r="D69" s="62"/>
      <c r="E69" s="62"/>
      <c r="F69" s="52"/>
      <c r="G69" s="84"/>
      <c r="J69" s="69"/>
      <c r="K69" s="83"/>
      <c r="L69" s="40"/>
      <c r="N69" s="83"/>
      <c r="O69" s="44"/>
    </row>
    <row r="70" spans="1:15" s="1" customFormat="1" ht="20.149999999999999" customHeight="1" thickTop="1" x14ac:dyDescent="0.35">
      <c r="A70" s="4"/>
      <c r="O70" s="13"/>
    </row>
    <row r="71" spans="1:15" s="1" customFormat="1" ht="20.149999999999999" customHeight="1" x14ac:dyDescent="0.4">
      <c r="A71" s="4"/>
      <c r="D71" s="41"/>
      <c r="E71" s="41"/>
      <c r="F71" s="46" t="s">
        <v>25</v>
      </c>
      <c r="G71" s="47">
        <f>SUM(G40:G69)</f>
        <v>2500</v>
      </c>
      <c r="H71" s="34"/>
      <c r="I71" s="45"/>
      <c r="J71" s="46" t="s">
        <v>25</v>
      </c>
      <c r="K71" s="47">
        <f>SUM(K40:K69)</f>
        <v>3500</v>
      </c>
      <c r="L71" s="45"/>
      <c r="M71" s="46" t="s">
        <v>25</v>
      </c>
      <c r="N71" s="47">
        <f>SUM(N40:N69)</f>
        <v>1000</v>
      </c>
      <c r="O71" s="13"/>
    </row>
    <row r="72" spans="1:15" s="1" customFormat="1" ht="20.149999999999999" customHeight="1" x14ac:dyDescent="0.35">
      <c r="A72" s="4"/>
      <c r="L72" s="1" t="s">
        <v>51</v>
      </c>
      <c r="O72" s="13"/>
    </row>
    <row r="73" spans="1:15" s="1" customFormat="1" ht="20.149999999999999" customHeight="1" x14ac:dyDescent="0.4">
      <c r="A73" s="4"/>
      <c r="D73" s="34" t="s">
        <v>26</v>
      </c>
      <c r="E73" s="34"/>
      <c r="F73" s="14"/>
      <c r="G73" s="73" t="s">
        <v>27</v>
      </c>
      <c r="H73" s="74"/>
      <c r="I73" s="14"/>
      <c r="O73" s="13"/>
    </row>
    <row r="74" spans="1:15" s="1" customFormat="1" ht="11.25" customHeight="1" x14ac:dyDescent="0.35">
      <c r="A74" s="4"/>
      <c r="O74" s="13"/>
    </row>
    <row r="75" spans="1:15" s="1" customFormat="1" ht="51" customHeight="1" x14ac:dyDescent="0.35">
      <c r="A75" s="63" t="s">
        <v>28</v>
      </c>
      <c r="B75" s="63"/>
      <c r="C75" s="64"/>
      <c r="D75" s="64"/>
      <c r="E75" s="64"/>
      <c r="F75" s="64"/>
      <c r="H75" s="65"/>
      <c r="I75" s="65"/>
      <c r="J75" s="65"/>
      <c r="K75" s="65"/>
      <c r="L75" s="65"/>
      <c r="O75" s="13"/>
    </row>
    <row r="76" spans="1:15" s="1" customFormat="1" ht="20.149999999999999" customHeight="1" x14ac:dyDescent="0.35">
      <c r="A76" s="4"/>
      <c r="O76" s="13"/>
    </row>
    <row r="77" spans="1:15" s="1" customFormat="1" ht="20.149999999999999" customHeight="1" x14ac:dyDescent="0.35">
      <c r="A77" s="4"/>
      <c r="O77" s="13"/>
    </row>
    <row r="78" spans="1:15" s="1" customFormat="1" ht="20.149999999999999" customHeight="1" x14ac:dyDescent="0.35">
      <c r="A78" s="4"/>
      <c r="C78" s="13"/>
      <c r="D78" s="2"/>
      <c r="E78" s="2"/>
      <c r="F78" s="21"/>
      <c r="L78" s="10"/>
      <c r="M78" s="15" t="s">
        <v>39</v>
      </c>
      <c r="N78" s="3"/>
      <c r="O78" s="13"/>
    </row>
    <row r="79" spans="1:15" s="1" customFormat="1" ht="20.149999999999999" customHeight="1" x14ac:dyDescent="0.35">
      <c r="A79" s="4"/>
      <c r="C79" s="13"/>
      <c r="D79" s="1" t="s">
        <v>14</v>
      </c>
      <c r="F79" s="19"/>
      <c r="L79" s="4" t="s">
        <v>14</v>
      </c>
      <c r="M79" s="29"/>
      <c r="N79" s="16"/>
      <c r="O79" s="13"/>
    </row>
    <row r="80" spans="1:15" s="1" customFormat="1" ht="5.15" customHeight="1" x14ac:dyDescent="0.35">
      <c r="A80" s="4"/>
      <c r="C80" s="13"/>
      <c r="F80" s="20"/>
      <c r="L80" s="4"/>
      <c r="N80" s="13"/>
      <c r="O80" s="13"/>
    </row>
    <row r="81" spans="1:15" s="1" customFormat="1" ht="20.149999999999999" customHeight="1" x14ac:dyDescent="0.35">
      <c r="A81" s="4"/>
      <c r="C81" s="13"/>
      <c r="D81" s="1" t="s">
        <v>15</v>
      </c>
      <c r="F81" s="19"/>
      <c r="L81" s="5" t="s">
        <v>15</v>
      </c>
      <c r="M81" s="48"/>
      <c r="N81" s="49"/>
      <c r="O81" s="13"/>
    </row>
    <row r="82" spans="1:15" s="1" customFormat="1" ht="5.15" customHeight="1" x14ac:dyDescent="0.35">
      <c r="A82" s="5"/>
      <c r="B82" s="6"/>
      <c r="C82" s="17"/>
      <c r="D82" s="6"/>
      <c r="E82" s="6"/>
      <c r="F82" s="18"/>
      <c r="G82" s="5"/>
      <c r="H82" s="6"/>
      <c r="I82" s="6"/>
      <c r="J82" s="6"/>
      <c r="K82" s="6"/>
      <c r="L82" s="6"/>
      <c r="M82" s="6"/>
      <c r="N82" s="6"/>
      <c r="O82" s="17"/>
    </row>
    <row r="83" spans="1:15" x14ac:dyDescent="0.35">
      <c r="O83"/>
    </row>
    <row r="84" spans="1:15" x14ac:dyDescent="0.35">
      <c r="O84"/>
    </row>
    <row r="85" spans="1:15" x14ac:dyDescent="0.35">
      <c r="O85"/>
    </row>
    <row r="86" spans="1:15" x14ac:dyDescent="0.35">
      <c r="O86"/>
    </row>
    <row r="87" spans="1:15" x14ac:dyDescent="0.35">
      <c r="O87"/>
    </row>
    <row r="88" spans="1:15" x14ac:dyDescent="0.35">
      <c r="O88"/>
    </row>
    <row r="89" spans="1:15" x14ac:dyDescent="0.35">
      <c r="O89"/>
    </row>
    <row r="90" spans="1:15" x14ac:dyDescent="0.35">
      <c r="O90"/>
    </row>
    <row r="91" spans="1:15" x14ac:dyDescent="0.35">
      <c r="O91"/>
    </row>
    <row r="92" spans="1:15" x14ac:dyDescent="0.35">
      <c r="O92"/>
    </row>
    <row r="93" spans="1:15" x14ac:dyDescent="0.35">
      <c r="O93"/>
    </row>
    <row r="94" spans="1:15" x14ac:dyDescent="0.35">
      <c r="O94"/>
    </row>
    <row r="95" spans="1:15" x14ac:dyDescent="0.35">
      <c r="O95"/>
    </row>
    <row r="96" spans="1:15" x14ac:dyDescent="0.35">
      <c r="O96"/>
    </row>
    <row r="97" spans="15:15" x14ac:dyDescent="0.35">
      <c r="O97"/>
    </row>
    <row r="98" spans="15:15" x14ac:dyDescent="0.35">
      <c r="O98"/>
    </row>
    <row r="99" spans="15:15" x14ac:dyDescent="0.35">
      <c r="O99"/>
    </row>
    <row r="100" spans="15:15" x14ac:dyDescent="0.35">
      <c r="O100"/>
    </row>
    <row r="101" spans="15:15" x14ac:dyDescent="0.35">
      <c r="O101"/>
    </row>
    <row r="102" spans="15:15" x14ac:dyDescent="0.35">
      <c r="O102"/>
    </row>
    <row r="103" spans="15:15" x14ac:dyDescent="0.35">
      <c r="O103"/>
    </row>
    <row r="104" spans="15:15" x14ac:dyDescent="0.35">
      <c r="O104"/>
    </row>
    <row r="105" spans="15:15" x14ac:dyDescent="0.35">
      <c r="O105"/>
    </row>
    <row r="106" spans="15:15" x14ac:dyDescent="0.35">
      <c r="O106"/>
    </row>
    <row r="107" spans="15:15" x14ac:dyDescent="0.35">
      <c r="O107"/>
    </row>
    <row r="108" spans="15:15" x14ac:dyDescent="0.35">
      <c r="O108"/>
    </row>
    <row r="109" spans="15:15" x14ac:dyDescent="0.35">
      <c r="O109"/>
    </row>
    <row r="110" spans="15:15" x14ac:dyDescent="0.35">
      <c r="O110"/>
    </row>
    <row r="111" spans="15:15" x14ac:dyDescent="0.35">
      <c r="O111"/>
    </row>
    <row r="112" spans="15:15" x14ac:dyDescent="0.35">
      <c r="O112"/>
    </row>
    <row r="113" spans="15:15" x14ac:dyDescent="0.35">
      <c r="O113"/>
    </row>
    <row r="114" spans="15:15" x14ac:dyDescent="0.35">
      <c r="O114"/>
    </row>
    <row r="115" spans="15:15" x14ac:dyDescent="0.35">
      <c r="O115"/>
    </row>
    <row r="116" spans="15:15" x14ac:dyDescent="0.35">
      <c r="O116"/>
    </row>
    <row r="117" spans="15:15" x14ac:dyDescent="0.35">
      <c r="O117"/>
    </row>
    <row r="118" spans="15:15" x14ac:dyDescent="0.35">
      <c r="O118"/>
    </row>
    <row r="119" spans="15:15" x14ac:dyDescent="0.35">
      <c r="O119"/>
    </row>
    <row r="120" spans="15:15" x14ac:dyDescent="0.35">
      <c r="O120"/>
    </row>
    <row r="121" spans="15:15" x14ac:dyDescent="0.35">
      <c r="O121"/>
    </row>
    <row r="122" spans="15:15" x14ac:dyDescent="0.35">
      <c r="O122"/>
    </row>
    <row r="123" spans="15:15" x14ac:dyDescent="0.35">
      <c r="O123"/>
    </row>
    <row r="124" spans="15:15" x14ac:dyDescent="0.35">
      <c r="O124"/>
    </row>
    <row r="125" spans="15:15" x14ac:dyDescent="0.35">
      <c r="O125"/>
    </row>
    <row r="126" spans="15:15" x14ac:dyDescent="0.35">
      <c r="O126"/>
    </row>
    <row r="127" spans="15:15" x14ac:dyDescent="0.35">
      <c r="O127"/>
    </row>
    <row r="128" spans="15:15" x14ac:dyDescent="0.35">
      <c r="O128"/>
    </row>
    <row r="129" spans="15:15" x14ac:dyDescent="0.35">
      <c r="O129"/>
    </row>
    <row r="130" spans="15:15" x14ac:dyDescent="0.35">
      <c r="O130"/>
    </row>
    <row r="131" spans="15:15" x14ac:dyDescent="0.35">
      <c r="O131"/>
    </row>
    <row r="132" spans="15:15" x14ac:dyDescent="0.35">
      <c r="O132"/>
    </row>
    <row r="133" spans="15:15" x14ac:dyDescent="0.35">
      <c r="O133"/>
    </row>
    <row r="134" spans="15:15" x14ac:dyDescent="0.35">
      <c r="O134"/>
    </row>
    <row r="135" spans="15:15" x14ac:dyDescent="0.35">
      <c r="O135"/>
    </row>
    <row r="136" spans="15:15" x14ac:dyDescent="0.35">
      <c r="O136"/>
    </row>
    <row r="137" spans="15:15" x14ac:dyDescent="0.35">
      <c r="O137"/>
    </row>
    <row r="138" spans="15:15" x14ac:dyDescent="0.35">
      <c r="O138"/>
    </row>
    <row r="139" spans="15:15" x14ac:dyDescent="0.35">
      <c r="O139"/>
    </row>
    <row r="140" spans="15:15" x14ac:dyDescent="0.35">
      <c r="O140"/>
    </row>
    <row r="141" spans="15:15" x14ac:dyDescent="0.35">
      <c r="O141"/>
    </row>
    <row r="142" spans="15:15" x14ac:dyDescent="0.35">
      <c r="O142"/>
    </row>
    <row r="143" spans="15:15" x14ac:dyDescent="0.35">
      <c r="O143"/>
    </row>
    <row r="144" spans="15:15" x14ac:dyDescent="0.35">
      <c r="O144"/>
    </row>
    <row r="145" spans="15:15" x14ac:dyDescent="0.35">
      <c r="O145"/>
    </row>
    <row r="146" spans="15:15" x14ac:dyDescent="0.35">
      <c r="O146"/>
    </row>
    <row r="147" spans="15:15" x14ac:dyDescent="0.35">
      <c r="O147"/>
    </row>
    <row r="148" spans="15:15" x14ac:dyDescent="0.35">
      <c r="O148"/>
    </row>
    <row r="149" spans="15:15" x14ac:dyDescent="0.35">
      <c r="O149"/>
    </row>
    <row r="150" spans="15:15" x14ac:dyDescent="0.35">
      <c r="O150"/>
    </row>
    <row r="151" spans="15:15" x14ac:dyDescent="0.35">
      <c r="O151"/>
    </row>
    <row r="152" spans="15:15" x14ac:dyDescent="0.35">
      <c r="O152"/>
    </row>
    <row r="153" spans="15:15" x14ac:dyDescent="0.35">
      <c r="O153"/>
    </row>
    <row r="154" spans="15:15" x14ac:dyDescent="0.35">
      <c r="O154"/>
    </row>
    <row r="155" spans="15:15" x14ac:dyDescent="0.35">
      <c r="O155"/>
    </row>
    <row r="156" spans="15:15" x14ac:dyDescent="0.35">
      <c r="O156"/>
    </row>
    <row r="157" spans="15:15" x14ac:dyDescent="0.35">
      <c r="O157"/>
    </row>
    <row r="158" spans="15:15" x14ac:dyDescent="0.35">
      <c r="O158"/>
    </row>
    <row r="159" spans="15:15" x14ac:dyDescent="0.35">
      <c r="O159"/>
    </row>
    <row r="160" spans="15:15" x14ac:dyDescent="0.35">
      <c r="O160"/>
    </row>
    <row r="161" spans="15:15" x14ac:dyDescent="0.35">
      <c r="O161"/>
    </row>
    <row r="162" spans="15:15" x14ac:dyDescent="0.35">
      <c r="O162"/>
    </row>
    <row r="163" spans="15:15" x14ac:dyDescent="0.35">
      <c r="O163"/>
    </row>
    <row r="164" spans="15:15" x14ac:dyDescent="0.35">
      <c r="O164"/>
    </row>
    <row r="165" spans="15:15" x14ac:dyDescent="0.35">
      <c r="O165"/>
    </row>
    <row r="166" spans="15:15" x14ac:dyDescent="0.35">
      <c r="O166"/>
    </row>
    <row r="167" spans="15:15" x14ac:dyDescent="0.35">
      <c r="O167"/>
    </row>
    <row r="168" spans="15:15" x14ac:dyDescent="0.35">
      <c r="O168"/>
    </row>
    <row r="169" spans="15:15" x14ac:dyDescent="0.35">
      <c r="O169"/>
    </row>
    <row r="170" spans="15:15" x14ac:dyDescent="0.35">
      <c r="O170"/>
    </row>
    <row r="171" spans="15:15" x14ac:dyDescent="0.35">
      <c r="O171"/>
    </row>
    <row r="172" spans="15:15" x14ac:dyDescent="0.35">
      <c r="O172"/>
    </row>
    <row r="173" spans="15:15" x14ac:dyDescent="0.35">
      <c r="O173"/>
    </row>
    <row r="174" spans="15:15" x14ac:dyDescent="0.35">
      <c r="O174"/>
    </row>
    <row r="175" spans="15:15" x14ac:dyDescent="0.35">
      <c r="O175"/>
    </row>
    <row r="176" spans="15:15" x14ac:dyDescent="0.35">
      <c r="O176"/>
    </row>
    <row r="177" spans="15:15" x14ac:dyDescent="0.35">
      <c r="O177"/>
    </row>
    <row r="178" spans="15:15" x14ac:dyDescent="0.35">
      <c r="O178"/>
    </row>
    <row r="179" spans="15:15" x14ac:dyDescent="0.35">
      <c r="O179"/>
    </row>
    <row r="180" spans="15:15" x14ac:dyDescent="0.35">
      <c r="O180"/>
    </row>
    <row r="181" spans="15:15" x14ac:dyDescent="0.35">
      <c r="O181"/>
    </row>
    <row r="182" spans="15:15" x14ac:dyDescent="0.35">
      <c r="O182"/>
    </row>
    <row r="183" spans="15:15" x14ac:dyDescent="0.35">
      <c r="O183"/>
    </row>
    <row r="184" spans="15:15" x14ac:dyDescent="0.35">
      <c r="O184"/>
    </row>
    <row r="185" spans="15:15" x14ac:dyDescent="0.35">
      <c r="O185"/>
    </row>
    <row r="186" spans="15:15" x14ac:dyDescent="0.35">
      <c r="O186"/>
    </row>
    <row r="187" spans="15:15" x14ac:dyDescent="0.35">
      <c r="O187"/>
    </row>
    <row r="188" spans="15:15" x14ac:dyDescent="0.35">
      <c r="O188"/>
    </row>
    <row r="189" spans="15:15" x14ac:dyDescent="0.35">
      <c r="O189"/>
    </row>
    <row r="190" spans="15:15" x14ac:dyDescent="0.35">
      <c r="O190"/>
    </row>
    <row r="191" spans="15:15" x14ac:dyDescent="0.35">
      <c r="O191"/>
    </row>
    <row r="192" spans="15:15" x14ac:dyDescent="0.35">
      <c r="O192"/>
    </row>
    <row r="193" spans="15:15" x14ac:dyDescent="0.35">
      <c r="O193"/>
    </row>
    <row r="194" spans="15:15" x14ac:dyDescent="0.35">
      <c r="O194"/>
    </row>
    <row r="195" spans="15:15" x14ac:dyDescent="0.35">
      <c r="O195"/>
    </row>
    <row r="196" spans="15:15" x14ac:dyDescent="0.35">
      <c r="O196"/>
    </row>
    <row r="197" spans="15:15" x14ac:dyDescent="0.35">
      <c r="O197"/>
    </row>
    <row r="198" spans="15:15" x14ac:dyDescent="0.35">
      <c r="O198"/>
    </row>
    <row r="199" spans="15:15" x14ac:dyDescent="0.35">
      <c r="O199"/>
    </row>
    <row r="200" spans="15:15" x14ac:dyDescent="0.35">
      <c r="O200"/>
    </row>
    <row r="201" spans="15:15" x14ac:dyDescent="0.35">
      <c r="O201"/>
    </row>
    <row r="202" spans="15:15" x14ac:dyDescent="0.35">
      <c r="O202"/>
    </row>
    <row r="203" spans="15:15" x14ac:dyDescent="0.35">
      <c r="O203"/>
    </row>
    <row r="204" spans="15:15" x14ac:dyDescent="0.35">
      <c r="O204"/>
    </row>
    <row r="205" spans="15:15" x14ac:dyDescent="0.35">
      <c r="O205"/>
    </row>
    <row r="206" spans="15:15" x14ac:dyDescent="0.35">
      <c r="O206"/>
    </row>
    <row r="207" spans="15:15" x14ac:dyDescent="0.35">
      <c r="O207"/>
    </row>
    <row r="208" spans="15:15" x14ac:dyDescent="0.35">
      <c r="O208"/>
    </row>
    <row r="209" spans="15:15" x14ac:dyDescent="0.35">
      <c r="O209"/>
    </row>
    <row r="210" spans="15:15" x14ac:dyDescent="0.35">
      <c r="O210"/>
    </row>
    <row r="211" spans="15:15" x14ac:dyDescent="0.35">
      <c r="O211"/>
    </row>
    <row r="212" spans="15:15" x14ac:dyDescent="0.35">
      <c r="O212"/>
    </row>
    <row r="213" spans="15:15" x14ac:dyDescent="0.35">
      <c r="O213"/>
    </row>
    <row r="214" spans="15:15" x14ac:dyDescent="0.35">
      <c r="O214"/>
    </row>
    <row r="215" spans="15:15" x14ac:dyDescent="0.35">
      <c r="O215"/>
    </row>
    <row r="216" spans="15:15" x14ac:dyDescent="0.35">
      <c r="O216"/>
    </row>
    <row r="217" spans="15:15" x14ac:dyDescent="0.35">
      <c r="O217"/>
    </row>
    <row r="218" spans="15:15" x14ac:dyDescent="0.35">
      <c r="O218"/>
    </row>
    <row r="219" spans="15:15" x14ac:dyDescent="0.35">
      <c r="O219"/>
    </row>
    <row r="220" spans="15:15" x14ac:dyDescent="0.35">
      <c r="O220"/>
    </row>
    <row r="221" spans="15:15" x14ac:dyDescent="0.35">
      <c r="O221"/>
    </row>
    <row r="222" spans="15:15" x14ac:dyDescent="0.35">
      <c r="O222"/>
    </row>
    <row r="223" spans="15:15" x14ac:dyDescent="0.35">
      <c r="O223"/>
    </row>
    <row r="224" spans="15:15" x14ac:dyDescent="0.35">
      <c r="O224"/>
    </row>
    <row r="225" spans="15:15" x14ac:dyDescent="0.35">
      <c r="O225"/>
    </row>
    <row r="226" spans="15:15" x14ac:dyDescent="0.35">
      <c r="O226"/>
    </row>
    <row r="227" spans="15:15" x14ac:dyDescent="0.35">
      <c r="O227"/>
    </row>
    <row r="228" spans="15:15" x14ac:dyDescent="0.35">
      <c r="O228"/>
    </row>
    <row r="229" spans="15:15" x14ac:dyDescent="0.35">
      <c r="O229"/>
    </row>
    <row r="230" spans="15:15" x14ac:dyDescent="0.35">
      <c r="O230"/>
    </row>
    <row r="231" spans="15:15" x14ac:dyDescent="0.35">
      <c r="O231"/>
    </row>
    <row r="232" spans="15:15" x14ac:dyDescent="0.35">
      <c r="O232"/>
    </row>
    <row r="233" spans="15:15" x14ac:dyDescent="0.35">
      <c r="O233"/>
    </row>
    <row r="234" spans="15:15" x14ac:dyDescent="0.35">
      <c r="O234"/>
    </row>
    <row r="235" spans="15:15" x14ac:dyDescent="0.35">
      <c r="O235"/>
    </row>
    <row r="236" spans="15:15" x14ac:dyDescent="0.35">
      <c r="O236"/>
    </row>
    <row r="237" spans="15:15" x14ac:dyDescent="0.35">
      <c r="O237"/>
    </row>
    <row r="238" spans="15:15" x14ac:dyDescent="0.35">
      <c r="O238"/>
    </row>
    <row r="239" spans="15:15" x14ac:dyDescent="0.35">
      <c r="O239"/>
    </row>
    <row r="240" spans="15:15" x14ac:dyDescent="0.35">
      <c r="O240"/>
    </row>
    <row r="241" spans="15:15" x14ac:dyDescent="0.35">
      <c r="O241"/>
    </row>
    <row r="242" spans="15:15" x14ac:dyDescent="0.35">
      <c r="O242"/>
    </row>
    <row r="243" spans="15:15" x14ac:dyDescent="0.35">
      <c r="O243"/>
    </row>
    <row r="244" spans="15:15" x14ac:dyDescent="0.35">
      <c r="O244"/>
    </row>
    <row r="245" spans="15:15" x14ac:dyDescent="0.35">
      <c r="O245"/>
    </row>
    <row r="246" spans="15:15" x14ac:dyDescent="0.35">
      <c r="O246"/>
    </row>
    <row r="247" spans="15:15" x14ac:dyDescent="0.35">
      <c r="O247"/>
    </row>
    <row r="248" spans="15:15" x14ac:dyDescent="0.35">
      <c r="O248"/>
    </row>
    <row r="249" spans="15:15" x14ac:dyDescent="0.35">
      <c r="O249"/>
    </row>
    <row r="250" spans="15:15" x14ac:dyDescent="0.35">
      <c r="O250"/>
    </row>
    <row r="251" spans="15:15" x14ac:dyDescent="0.35">
      <c r="O251"/>
    </row>
    <row r="252" spans="15:15" x14ac:dyDescent="0.35">
      <c r="O252"/>
    </row>
    <row r="253" spans="15:15" x14ac:dyDescent="0.35">
      <c r="O253"/>
    </row>
    <row r="254" spans="15:15" x14ac:dyDescent="0.35">
      <c r="O254"/>
    </row>
    <row r="255" spans="15:15" x14ac:dyDescent="0.35">
      <c r="O255"/>
    </row>
    <row r="256" spans="15:15" x14ac:dyDescent="0.35">
      <c r="O256"/>
    </row>
    <row r="257" spans="15:15" x14ac:dyDescent="0.35">
      <c r="O257"/>
    </row>
    <row r="258" spans="15:15" x14ac:dyDescent="0.35">
      <c r="O258"/>
    </row>
    <row r="259" spans="15:15" x14ac:dyDescent="0.35">
      <c r="O259"/>
    </row>
    <row r="260" spans="15:15" x14ac:dyDescent="0.35">
      <c r="O260"/>
    </row>
    <row r="261" spans="15:15" x14ac:dyDescent="0.35">
      <c r="O261"/>
    </row>
    <row r="262" spans="15:15" x14ac:dyDescent="0.35">
      <c r="O262"/>
    </row>
    <row r="263" spans="15:15" x14ac:dyDescent="0.35">
      <c r="O263"/>
    </row>
    <row r="264" spans="15:15" x14ac:dyDescent="0.35">
      <c r="O264"/>
    </row>
    <row r="265" spans="15:15" x14ac:dyDescent="0.35">
      <c r="O265"/>
    </row>
    <row r="266" spans="15:15" x14ac:dyDescent="0.35">
      <c r="O266"/>
    </row>
    <row r="267" spans="15:15" x14ac:dyDescent="0.35">
      <c r="O267"/>
    </row>
    <row r="268" spans="15:15" x14ac:dyDescent="0.35">
      <c r="O268"/>
    </row>
    <row r="269" spans="15:15" x14ac:dyDescent="0.35">
      <c r="O269"/>
    </row>
    <row r="270" spans="15:15" x14ac:dyDescent="0.35">
      <c r="O270"/>
    </row>
    <row r="271" spans="15:15" x14ac:dyDescent="0.35">
      <c r="O271"/>
    </row>
    <row r="272" spans="15:15" x14ac:dyDescent="0.35">
      <c r="O272"/>
    </row>
    <row r="273" spans="15:15" x14ac:dyDescent="0.35">
      <c r="O273"/>
    </row>
    <row r="274" spans="15:15" x14ac:dyDescent="0.35">
      <c r="O274"/>
    </row>
    <row r="275" spans="15:15" x14ac:dyDescent="0.35">
      <c r="O275"/>
    </row>
    <row r="276" spans="15:15" x14ac:dyDescent="0.35">
      <c r="O276"/>
    </row>
    <row r="277" spans="15:15" x14ac:dyDescent="0.35">
      <c r="O277"/>
    </row>
    <row r="278" spans="15:15" x14ac:dyDescent="0.35">
      <c r="O278"/>
    </row>
    <row r="279" spans="15:15" x14ac:dyDescent="0.35">
      <c r="O279"/>
    </row>
    <row r="280" spans="15:15" x14ac:dyDescent="0.35">
      <c r="O280"/>
    </row>
    <row r="281" spans="15:15" x14ac:dyDescent="0.35">
      <c r="O281"/>
    </row>
    <row r="282" spans="15:15" x14ac:dyDescent="0.35">
      <c r="O282"/>
    </row>
    <row r="283" spans="15:15" x14ac:dyDescent="0.35">
      <c r="O283"/>
    </row>
    <row r="284" spans="15:15" x14ac:dyDescent="0.35">
      <c r="O284"/>
    </row>
    <row r="285" spans="15:15" x14ac:dyDescent="0.35">
      <c r="O285"/>
    </row>
    <row r="286" spans="15:15" x14ac:dyDescent="0.35">
      <c r="O286"/>
    </row>
    <row r="287" spans="15:15" x14ac:dyDescent="0.35">
      <c r="O287"/>
    </row>
    <row r="288" spans="15:15" x14ac:dyDescent="0.35">
      <c r="O288"/>
    </row>
    <row r="289" spans="15:15" x14ac:dyDescent="0.35">
      <c r="O289"/>
    </row>
    <row r="290" spans="15:15" x14ac:dyDescent="0.35">
      <c r="O290"/>
    </row>
    <row r="291" spans="15:15" x14ac:dyDescent="0.35">
      <c r="O291"/>
    </row>
    <row r="292" spans="15:15" x14ac:dyDescent="0.35">
      <c r="O292"/>
    </row>
    <row r="293" spans="15:15" x14ac:dyDescent="0.35">
      <c r="O293"/>
    </row>
    <row r="294" spans="15:15" x14ac:dyDescent="0.35">
      <c r="O294"/>
    </row>
    <row r="295" spans="15:15" x14ac:dyDescent="0.35">
      <c r="O295"/>
    </row>
    <row r="296" spans="15:15" x14ac:dyDescent="0.35">
      <c r="O296"/>
    </row>
    <row r="297" spans="15:15" x14ac:dyDescent="0.35">
      <c r="O297"/>
    </row>
    <row r="298" spans="15:15" x14ac:dyDescent="0.35">
      <c r="O298"/>
    </row>
    <row r="299" spans="15:15" x14ac:dyDescent="0.35">
      <c r="O299"/>
    </row>
    <row r="300" spans="15:15" x14ac:dyDescent="0.35">
      <c r="O300"/>
    </row>
    <row r="301" spans="15:15" x14ac:dyDescent="0.35">
      <c r="O301"/>
    </row>
    <row r="302" spans="15:15" x14ac:dyDescent="0.35">
      <c r="O302"/>
    </row>
    <row r="303" spans="15:15" x14ac:dyDescent="0.35">
      <c r="O303"/>
    </row>
    <row r="304" spans="15:15" x14ac:dyDescent="0.35">
      <c r="O304"/>
    </row>
    <row r="305" spans="15:15" x14ac:dyDescent="0.35">
      <c r="O305"/>
    </row>
    <row r="306" spans="15:15" x14ac:dyDescent="0.35">
      <c r="O306"/>
    </row>
    <row r="307" spans="15:15" x14ac:dyDescent="0.35">
      <c r="O307"/>
    </row>
    <row r="308" spans="15:15" x14ac:dyDescent="0.35">
      <c r="O308"/>
    </row>
    <row r="309" spans="15:15" x14ac:dyDescent="0.35">
      <c r="O309"/>
    </row>
    <row r="310" spans="15:15" x14ac:dyDescent="0.35">
      <c r="O310"/>
    </row>
    <row r="311" spans="15:15" x14ac:dyDescent="0.35">
      <c r="O311"/>
    </row>
    <row r="312" spans="15:15" x14ac:dyDescent="0.35">
      <c r="O312"/>
    </row>
    <row r="313" spans="15:15" x14ac:dyDescent="0.35">
      <c r="O313"/>
    </row>
    <row r="314" spans="15:15" x14ac:dyDescent="0.35">
      <c r="O314"/>
    </row>
    <row r="315" spans="15:15" x14ac:dyDescent="0.35">
      <c r="O315"/>
    </row>
    <row r="316" spans="15:15" x14ac:dyDescent="0.35">
      <c r="O316"/>
    </row>
    <row r="317" spans="15:15" x14ac:dyDescent="0.35">
      <c r="O317"/>
    </row>
    <row r="318" spans="15:15" x14ac:dyDescent="0.35">
      <c r="O318"/>
    </row>
    <row r="319" spans="15:15" x14ac:dyDescent="0.35">
      <c r="O319"/>
    </row>
    <row r="320" spans="15:15" x14ac:dyDescent="0.35">
      <c r="O320"/>
    </row>
    <row r="321" spans="15:15" x14ac:dyDescent="0.35">
      <c r="O321"/>
    </row>
    <row r="322" spans="15:15" x14ac:dyDescent="0.35">
      <c r="O322"/>
    </row>
    <row r="323" spans="15:15" x14ac:dyDescent="0.35">
      <c r="O323"/>
    </row>
    <row r="324" spans="15:15" x14ac:dyDescent="0.35">
      <c r="O324"/>
    </row>
    <row r="325" spans="15:15" x14ac:dyDescent="0.35">
      <c r="O325"/>
    </row>
    <row r="326" spans="15:15" x14ac:dyDescent="0.35">
      <c r="O326"/>
    </row>
    <row r="327" spans="15:15" x14ac:dyDescent="0.35">
      <c r="O327"/>
    </row>
    <row r="328" spans="15:15" x14ac:dyDescent="0.35">
      <c r="O328"/>
    </row>
    <row r="329" spans="15:15" x14ac:dyDescent="0.35">
      <c r="O329"/>
    </row>
    <row r="330" spans="15:15" x14ac:dyDescent="0.35">
      <c r="O330"/>
    </row>
    <row r="331" spans="15:15" x14ac:dyDescent="0.35">
      <c r="O331"/>
    </row>
    <row r="332" spans="15:15" x14ac:dyDescent="0.35">
      <c r="O332"/>
    </row>
    <row r="333" spans="15:15" x14ac:dyDescent="0.35">
      <c r="O333"/>
    </row>
    <row r="334" spans="15:15" x14ac:dyDescent="0.35">
      <c r="O334"/>
    </row>
    <row r="335" spans="15:15" x14ac:dyDescent="0.35">
      <c r="O335"/>
    </row>
    <row r="336" spans="15:15" x14ac:dyDescent="0.35">
      <c r="O336"/>
    </row>
    <row r="337" spans="15:15" x14ac:dyDescent="0.35">
      <c r="O337"/>
    </row>
    <row r="338" spans="15:15" x14ac:dyDescent="0.35">
      <c r="O338"/>
    </row>
    <row r="339" spans="15:15" x14ac:dyDescent="0.35">
      <c r="O339"/>
    </row>
    <row r="340" spans="15:15" x14ac:dyDescent="0.35">
      <c r="O340"/>
    </row>
    <row r="341" spans="15:15" x14ac:dyDescent="0.35">
      <c r="O341"/>
    </row>
    <row r="342" spans="15:15" x14ac:dyDescent="0.35">
      <c r="O342"/>
    </row>
    <row r="343" spans="15:15" x14ac:dyDescent="0.35">
      <c r="O343"/>
    </row>
    <row r="344" spans="15:15" x14ac:dyDescent="0.35">
      <c r="O344"/>
    </row>
    <row r="345" spans="15:15" x14ac:dyDescent="0.35">
      <c r="O345"/>
    </row>
    <row r="346" spans="15:15" x14ac:dyDescent="0.35">
      <c r="O346"/>
    </row>
    <row r="347" spans="15:15" x14ac:dyDescent="0.35">
      <c r="O347"/>
    </row>
    <row r="348" spans="15:15" x14ac:dyDescent="0.35">
      <c r="O348"/>
    </row>
    <row r="349" spans="15:15" x14ac:dyDescent="0.35">
      <c r="O349"/>
    </row>
    <row r="350" spans="15:15" x14ac:dyDescent="0.35">
      <c r="O350"/>
    </row>
    <row r="351" spans="15:15" x14ac:dyDescent="0.35">
      <c r="O351"/>
    </row>
    <row r="352" spans="15:15" x14ac:dyDescent="0.35">
      <c r="O352"/>
    </row>
    <row r="353" spans="15:15" x14ac:dyDescent="0.35">
      <c r="O353"/>
    </row>
    <row r="354" spans="15:15" x14ac:dyDescent="0.35">
      <c r="O354"/>
    </row>
    <row r="355" spans="15:15" x14ac:dyDescent="0.35">
      <c r="O355"/>
    </row>
    <row r="356" spans="15:15" x14ac:dyDescent="0.35">
      <c r="O356"/>
    </row>
    <row r="357" spans="15:15" x14ac:dyDescent="0.35">
      <c r="O357"/>
    </row>
    <row r="358" spans="15:15" x14ac:dyDescent="0.35">
      <c r="O358"/>
    </row>
    <row r="359" spans="15:15" x14ac:dyDescent="0.35">
      <c r="O359"/>
    </row>
    <row r="360" spans="15:15" x14ac:dyDescent="0.35">
      <c r="O360"/>
    </row>
    <row r="361" spans="15:15" x14ac:dyDescent="0.35">
      <c r="O361"/>
    </row>
    <row r="362" spans="15:15" x14ac:dyDescent="0.35">
      <c r="O362"/>
    </row>
    <row r="363" spans="15:15" x14ac:dyDescent="0.35">
      <c r="O363"/>
    </row>
    <row r="364" spans="15:15" x14ac:dyDescent="0.35">
      <c r="O364"/>
    </row>
    <row r="365" spans="15:15" x14ac:dyDescent="0.35">
      <c r="O365"/>
    </row>
    <row r="366" spans="15:15" x14ac:dyDescent="0.35">
      <c r="O366"/>
    </row>
    <row r="367" spans="15:15" x14ac:dyDescent="0.35">
      <c r="O367"/>
    </row>
    <row r="368" spans="15:15" x14ac:dyDescent="0.35">
      <c r="O368"/>
    </row>
    <row r="369" spans="15:15" x14ac:dyDescent="0.35">
      <c r="O369"/>
    </row>
    <row r="370" spans="15:15" x14ac:dyDescent="0.35">
      <c r="O370"/>
    </row>
    <row r="371" spans="15:15" x14ac:dyDescent="0.35">
      <c r="O371"/>
    </row>
    <row r="372" spans="15:15" x14ac:dyDescent="0.35">
      <c r="O372"/>
    </row>
    <row r="373" spans="15:15" x14ac:dyDescent="0.35">
      <c r="O373"/>
    </row>
    <row r="374" spans="15:15" x14ac:dyDescent="0.35">
      <c r="O374"/>
    </row>
    <row r="375" spans="15:15" x14ac:dyDescent="0.35">
      <c r="O375"/>
    </row>
    <row r="376" spans="15:15" x14ac:dyDescent="0.35">
      <c r="O376"/>
    </row>
    <row r="377" spans="15:15" x14ac:dyDescent="0.35">
      <c r="O377"/>
    </row>
    <row r="378" spans="15:15" x14ac:dyDescent="0.35">
      <c r="O378"/>
    </row>
    <row r="379" spans="15:15" x14ac:dyDescent="0.35">
      <c r="O379"/>
    </row>
    <row r="380" spans="15:15" x14ac:dyDescent="0.35">
      <c r="O380"/>
    </row>
    <row r="381" spans="15:15" x14ac:dyDescent="0.35">
      <c r="O381"/>
    </row>
    <row r="382" spans="15:15" x14ac:dyDescent="0.35">
      <c r="O382"/>
    </row>
    <row r="383" spans="15:15" x14ac:dyDescent="0.35">
      <c r="O383"/>
    </row>
    <row r="384" spans="15:15" x14ac:dyDescent="0.35">
      <c r="O384"/>
    </row>
    <row r="385" spans="15:15" x14ac:dyDescent="0.35">
      <c r="O385"/>
    </row>
    <row r="386" spans="15:15" x14ac:dyDescent="0.35">
      <c r="O386"/>
    </row>
    <row r="387" spans="15:15" x14ac:dyDescent="0.35">
      <c r="O387"/>
    </row>
    <row r="388" spans="15:15" x14ac:dyDescent="0.35">
      <c r="O388"/>
    </row>
    <row r="389" spans="15:15" x14ac:dyDescent="0.35">
      <c r="O389"/>
    </row>
    <row r="390" spans="15:15" x14ac:dyDescent="0.35">
      <c r="O390"/>
    </row>
    <row r="391" spans="15:15" x14ac:dyDescent="0.35">
      <c r="O391"/>
    </row>
    <row r="392" spans="15:15" x14ac:dyDescent="0.35">
      <c r="O392"/>
    </row>
    <row r="393" spans="15:15" x14ac:dyDescent="0.35">
      <c r="O393"/>
    </row>
    <row r="394" spans="15:15" x14ac:dyDescent="0.35">
      <c r="O394"/>
    </row>
    <row r="395" spans="15:15" x14ac:dyDescent="0.35">
      <c r="O395"/>
    </row>
    <row r="396" spans="15:15" x14ac:dyDescent="0.35">
      <c r="O396"/>
    </row>
    <row r="397" spans="15:15" x14ac:dyDescent="0.35">
      <c r="O397"/>
    </row>
    <row r="398" spans="15:15" x14ac:dyDescent="0.35">
      <c r="O398"/>
    </row>
    <row r="399" spans="15:15" x14ac:dyDescent="0.35">
      <c r="O399"/>
    </row>
    <row r="400" spans="15:15" x14ac:dyDescent="0.35">
      <c r="O400"/>
    </row>
    <row r="401" spans="15:15" x14ac:dyDescent="0.35">
      <c r="O401"/>
    </row>
    <row r="402" spans="15:15" x14ac:dyDescent="0.35">
      <c r="O402"/>
    </row>
    <row r="403" spans="15:15" x14ac:dyDescent="0.35">
      <c r="O403"/>
    </row>
    <row r="404" spans="15:15" x14ac:dyDescent="0.35">
      <c r="O404"/>
    </row>
    <row r="405" spans="15:15" x14ac:dyDescent="0.35">
      <c r="O405"/>
    </row>
    <row r="406" spans="15:15" x14ac:dyDescent="0.35">
      <c r="O406"/>
    </row>
    <row r="407" spans="15:15" x14ac:dyDescent="0.35">
      <c r="O407"/>
    </row>
    <row r="408" spans="15:15" x14ac:dyDescent="0.35">
      <c r="O408"/>
    </row>
    <row r="409" spans="15:15" x14ac:dyDescent="0.35">
      <c r="O409"/>
    </row>
    <row r="410" spans="15:15" x14ac:dyDescent="0.35">
      <c r="O410"/>
    </row>
    <row r="411" spans="15:15" x14ac:dyDescent="0.35">
      <c r="O411"/>
    </row>
    <row r="412" spans="15:15" x14ac:dyDescent="0.35">
      <c r="O412"/>
    </row>
    <row r="413" spans="15:15" x14ac:dyDescent="0.35">
      <c r="O413"/>
    </row>
    <row r="414" spans="15:15" x14ac:dyDescent="0.35">
      <c r="O414"/>
    </row>
    <row r="415" spans="15:15" x14ac:dyDescent="0.35">
      <c r="O415"/>
    </row>
    <row r="416" spans="15:15" x14ac:dyDescent="0.35">
      <c r="O416"/>
    </row>
    <row r="417" spans="15:15" x14ac:dyDescent="0.35">
      <c r="O417"/>
    </row>
    <row r="418" spans="15:15" x14ac:dyDescent="0.35">
      <c r="O418"/>
    </row>
    <row r="419" spans="15:15" x14ac:dyDescent="0.35">
      <c r="O419"/>
    </row>
    <row r="420" spans="15:15" x14ac:dyDescent="0.35">
      <c r="O420"/>
    </row>
    <row r="421" spans="15:15" x14ac:dyDescent="0.35">
      <c r="O421"/>
    </row>
    <row r="422" spans="15:15" x14ac:dyDescent="0.35">
      <c r="O422"/>
    </row>
    <row r="423" spans="15:15" x14ac:dyDescent="0.35">
      <c r="O423"/>
    </row>
    <row r="424" spans="15:15" x14ac:dyDescent="0.35">
      <c r="O424"/>
    </row>
    <row r="425" spans="15:15" x14ac:dyDescent="0.35">
      <c r="O425"/>
    </row>
    <row r="426" spans="15:15" x14ac:dyDescent="0.35">
      <c r="O426"/>
    </row>
    <row r="427" spans="15:15" x14ac:dyDescent="0.35">
      <c r="O427"/>
    </row>
    <row r="428" spans="15:15" x14ac:dyDescent="0.35">
      <c r="O428"/>
    </row>
    <row r="429" spans="15:15" x14ac:dyDescent="0.35">
      <c r="O429"/>
    </row>
    <row r="430" spans="15:15" x14ac:dyDescent="0.35">
      <c r="O430"/>
    </row>
    <row r="431" spans="15:15" x14ac:dyDescent="0.35">
      <c r="O431"/>
    </row>
    <row r="432" spans="15:15" x14ac:dyDescent="0.35">
      <c r="O432"/>
    </row>
    <row r="433" spans="15:15" x14ac:dyDescent="0.35">
      <c r="O433"/>
    </row>
    <row r="434" spans="15:15" x14ac:dyDescent="0.35">
      <c r="O434"/>
    </row>
    <row r="435" spans="15:15" x14ac:dyDescent="0.35">
      <c r="O435"/>
    </row>
    <row r="436" spans="15:15" x14ac:dyDescent="0.35">
      <c r="O436"/>
    </row>
    <row r="437" spans="15:15" x14ac:dyDescent="0.35">
      <c r="O437"/>
    </row>
    <row r="438" spans="15:15" x14ac:dyDescent="0.35">
      <c r="O438"/>
    </row>
    <row r="439" spans="15:15" x14ac:dyDescent="0.35">
      <c r="O439"/>
    </row>
    <row r="440" spans="15:15" x14ac:dyDescent="0.35">
      <c r="O440"/>
    </row>
    <row r="441" spans="15:15" x14ac:dyDescent="0.35">
      <c r="O441"/>
    </row>
    <row r="442" spans="15:15" x14ac:dyDescent="0.35">
      <c r="O442"/>
    </row>
    <row r="443" spans="15:15" x14ac:dyDescent="0.35">
      <c r="O443"/>
    </row>
    <row r="444" spans="15:15" x14ac:dyDescent="0.35">
      <c r="O444"/>
    </row>
    <row r="445" spans="15:15" x14ac:dyDescent="0.35">
      <c r="O445"/>
    </row>
    <row r="446" spans="15:15" x14ac:dyDescent="0.35">
      <c r="O446"/>
    </row>
    <row r="447" spans="15:15" x14ac:dyDescent="0.35">
      <c r="O447"/>
    </row>
    <row r="448" spans="15:15" x14ac:dyDescent="0.35">
      <c r="O448"/>
    </row>
    <row r="449" spans="15:15" x14ac:dyDescent="0.35">
      <c r="O449"/>
    </row>
    <row r="450" spans="15:15" x14ac:dyDescent="0.35">
      <c r="O450"/>
    </row>
    <row r="451" spans="15:15" x14ac:dyDescent="0.35">
      <c r="O451"/>
    </row>
    <row r="452" spans="15:15" x14ac:dyDescent="0.35">
      <c r="O452"/>
    </row>
    <row r="453" spans="15:15" x14ac:dyDescent="0.35">
      <c r="O453"/>
    </row>
    <row r="454" spans="15:15" x14ac:dyDescent="0.35">
      <c r="O454"/>
    </row>
    <row r="455" spans="15:15" x14ac:dyDescent="0.35">
      <c r="O455"/>
    </row>
    <row r="456" spans="15:15" x14ac:dyDescent="0.35">
      <c r="O456"/>
    </row>
    <row r="457" spans="15:15" x14ac:dyDescent="0.35">
      <c r="O457"/>
    </row>
    <row r="458" spans="15:15" x14ac:dyDescent="0.35">
      <c r="O458"/>
    </row>
    <row r="459" spans="15:15" x14ac:dyDescent="0.35">
      <c r="O459"/>
    </row>
    <row r="460" spans="15:15" x14ac:dyDescent="0.35">
      <c r="O460"/>
    </row>
    <row r="461" spans="15:15" x14ac:dyDescent="0.35">
      <c r="O461"/>
    </row>
    <row r="462" spans="15:15" x14ac:dyDescent="0.35">
      <c r="O462"/>
    </row>
    <row r="463" spans="15:15" x14ac:dyDescent="0.35">
      <c r="O463"/>
    </row>
    <row r="464" spans="15:15" x14ac:dyDescent="0.35">
      <c r="O464"/>
    </row>
    <row r="465" spans="15:15" x14ac:dyDescent="0.35">
      <c r="O465"/>
    </row>
    <row r="466" spans="15:15" x14ac:dyDescent="0.35">
      <c r="O466"/>
    </row>
    <row r="467" spans="15:15" x14ac:dyDescent="0.35">
      <c r="O467"/>
    </row>
    <row r="468" spans="15:15" x14ac:dyDescent="0.35">
      <c r="O468"/>
    </row>
    <row r="469" spans="15:15" x14ac:dyDescent="0.35">
      <c r="O469"/>
    </row>
    <row r="470" spans="15:15" x14ac:dyDescent="0.35">
      <c r="O470"/>
    </row>
    <row r="471" spans="15:15" x14ac:dyDescent="0.35">
      <c r="O471"/>
    </row>
    <row r="472" spans="15:15" x14ac:dyDescent="0.35">
      <c r="O472"/>
    </row>
    <row r="473" spans="15:15" x14ac:dyDescent="0.35">
      <c r="O473"/>
    </row>
    <row r="474" spans="15:15" x14ac:dyDescent="0.35">
      <c r="O474"/>
    </row>
    <row r="475" spans="15:15" x14ac:dyDescent="0.35">
      <c r="O475"/>
    </row>
    <row r="476" spans="15:15" x14ac:dyDescent="0.35">
      <c r="O476"/>
    </row>
    <row r="477" spans="15:15" x14ac:dyDescent="0.35">
      <c r="O477"/>
    </row>
    <row r="478" spans="15:15" x14ac:dyDescent="0.35">
      <c r="O478"/>
    </row>
    <row r="479" spans="15:15" x14ac:dyDescent="0.35">
      <c r="O479"/>
    </row>
    <row r="480" spans="15:15" x14ac:dyDescent="0.35">
      <c r="O480"/>
    </row>
    <row r="481" spans="15:15" x14ac:dyDescent="0.35">
      <c r="O481"/>
    </row>
    <row r="482" spans="15:15" x14ac:dyDescent="0.35">
      <c r="O482"/>
    </row>
    <row r="483" spans="15:15" x14ac:dyDescent="0.35">
      <c r="O483"/>
    </row>
    <row r="484" spans="15:15" x14ac:dyDescent="0.35">
      <c r="O484"/>
    </row>
    <row r="485" spans="15:15" x14ac:dyDescent="0.35">
      <c r="O485"/>
    </row>
    <row r="486" spans="15:15" x14ac:dyDescent="0.35">
      <c r="O486"/>
    </row>
    <row r="487" spans="15:15" x14ac:dyDescent="0.35">
      <c r="O487"/>
    </row>
    <row r="488" spans="15:15" x14ac:dyDescent="0.35">
      <c r="O488"/>
    </row>
    <row r="489" spans="15:15" x14ac:dyDescent="0.35">
      <c r="O489"/>
    </row>
    <row r="490" spans="15:15" x14ac:dyDescent="0.35">
      <c r="O490"/>
    </row>
    <row r="491" spans="15:15" x14ac:dyDescent="0.35">
      <c r="O491"/>
    </row>
    <row r="492" spans="15:15" x14ac:dyDescent="0.35">
      <c r="O492"/>
    </row>
    <row r="493" spans="15:15" x14ac:dyDescent="0.35">
      <c r="O493"/>
    </row>
    <row r="494" spans="15:15" x14ac:dyDescent="0.35">
      <c r="O494"/>
    </row>
    <row r="495" spans="15:15" x14ac:dyDescent="0.35">
      <c r="O495"/>
    </row>
    <row r="496" spans="15:15" x14ac:dyDescent="0.35">
      <c r="O496"/>
    </row>
    <row r="497" spans="15:15" x14ac:dyDescent="0.35">
      <c r="O497"/>
    </row>
    <row r="498" spans="15:15" x14ac:dyDescent="0.35">
      <c r="O498"/>
    </row>
    <row r="499" spans="15:15" x14ac:dyDescent="0.35">
      <c r="O499"/>
    </row>
    <row r="500" spans="15:15" x14ac:dyDescent="0.35">
      <c r="O500"/>
    </row>
    <row r="501" spans="15:15" x14ac:dyDescent="0.35">
      <c r="O501"/>
    </row>
    <row r="502" spans="15:15" x14ac:dyDescent="0.35">
      <c r="O502"/>
    </row>
    <row r="503" spans="15:15" x14ac:dyDescent="0.35">
      <c r="O503"/>
    </row>
    <row r="504" spans="15:15" x14ac:dyDescent="0.35">
      <c r="O504"/>
    </row>
    <row r="505" spans="15:15" x14ac:dyDescent="0.35">
      <c r="O505"/>
    </row>
    <row r="506" spans="15:15" x14ac:dyDescent="0.35">
      <c r="O506"/>
    </row>
    <row r="507" spans="15:15" x14ac:dyDescent="0.35">
      <c r="O507"/>
    </row>
    <row r="508" spans="15:15" x14ac:dyDescent="0.35">
      <c r="O508"/>
    </row>
    <row r="509" spans="15:15" x14ac:dyDescent="0.35">
      <c r="O509"/>
    </row>
    <row r="510" spans="15:15" x14ac:dyDescent="0.35">
      <c r="O510"/>
    </row>
    <row r="511" spans="15:15" x14ac:dyDescent="0.35">
      <c r="O511"/>
    </row>
    <row r="512" spans="15:15" x14ac:dyDescent="0.35">
      <c r="O512"/>
    </row>
    <row r="513" spans="15:15" x14ac:dyDescent="0.35">
      <c r="O513"/>
    </row>
    <row r="514" spans="15:15" x14ac:dyDescent="0.35">
      <c r="O514"/>
    </row>
    <row r="515" spans="15:15" x14ac:dyDescent="0.35">
      <c r="O515"/>
    </row>
    <row r="516" spans="15:15" x14ac:dyDescent="0.35">
      <c r="O516"/>
    </row>
    <row r="517" spans="15:15" x14ac:dyDescent="0.35">
      <c r="O517"/>
    </row>
    <row r="518" spans="15:15" x14ac:dyDescent="0.35">
      <c r="O518"/>
    </row>
    <row r="519" spans="15:15" x14ac:dyDescent="0.35">
      <c r="O519"/>
    </row>
    <row r="520" spans="15:15" x14ac:dyDescent="0.35">
      <c r="O520"/>
    </row>
    <row r="521" spans="15:15" x14ac:dyDescent="0.35">
      <c r="O521"/>
    </row>
    <row r="522" spans="15:15" x14ac:dyDescent="0.35">
      <c r="O522"/>
    </row>
    <row r="523" spans="15:15" x14ac:dyDescent="0.35">
      <c r="O523"/>
    </row>
    <row r="524" spans="15:15" x14ac:dyDescent="0.35">
      <c r="O524"/>
    </row>
    <row r="525" spans="15:15" x14ac:dyDescent="0.35">
      <c r="O525"/>
    </row>
    <row r="526" spans="15:15" x14ac:dyDescent="0.35">
      <c r="O526"/>
    </row>
    <row r="527" spans="15:15" x14ac:dyDescent="0.35">
      <c r="O527"/>
    </row>
    <row r="528" spans="15:15" x14ac:dyDescent="0.35">
      <c r="O528"/>
    </row>
    <row r="529" spans="15:15" x14ac:dyDescent="0.35">
      <c r="O529"/>
    </row>
    <row r="530" spans="15:15" x14ac:dyDescent="0.35">
      <c r="O530"/>
    </row>
    <row r="531" spans="15:15" x14ac:dyDescent="0.35">
      <c r="O531"/>
    </row>
    <row r="532" spans="15:15" x14ac:dyDescent="0.35">
      <c r="O532"/>
    </row>
    <row r="533" spans="15:15" x14ac:dyDescent="0.35">
      <c r="O533"/>
    </row>
    <row r="534" spans="15:15" x14ac:dyDescent="0.35">
      <c r="O534"/>
    </row>
    <row r="535" spans="15:15" x14ac:dyDescent="0.35">
      <c r="O535"/>
    </row>
    <row r="536" spans="15:15" x14ac:dyDescent="0.35">
      <c r="O536"/>
    </row>
    <row r="537" spans="15:15" x14ac:dyDescent="0.35">
      <c r="O537"/>
    </row>
    <row r="538" spans="15:15" x14ac:dyDescent="0.35">
      <c r="O538"/>
    </row>
    <row r="539" spans="15:15" x14ac:dyDescent="0.35">
      <c r="O539"/>
    </row>
    <row r="540" spans="15:15" x14ac:dyDescent="0.35">
      <c r="O540"/>
    </row>
    <row r="541" spans="15:15" x14ac:dyDescent="0.35">
      <c r="O541"/>
    </row>
    <row r="542" spans="15:15" x14ac:dyDescent="0.35">
      <c r="O542"/>
    </row>
    <row r="543" spans="15:15" x14ac:dyDescent="0.35">
      <c r="O543"/>
    </row>
    <row r="544" spans="15:15" x14ac:dyDescent="0.35">
      <c r="O544"/>
    </row>
    <row r="545" spans="15:15" x14ac:dyDescent="0.35">
      <c r="O545"/>
    </row>
    <row r="546" spans="15:15" x14ac:dyDescent="0.35">
      <c r="O546"/>
    </row>
    <row r="547" spans="15:15" x14ac:dyDescent="0.35">
      <c r="O547"/>
    </row>
    <row r="548" spans="15:15" x14ac:dyDescent="0.35">
      <c r="O548"/>
    </row>
    <row r="549" spans="15:15" x14ac:dyDescent="0.35">
      <c r="O549"/>
    </row>
    <row r="550" spans="15:15" x14ac:dyDescent="0.35">
      <c r="O550"/>
    </row>
    <row r="551" spans="15:15" x14ac:dyDescent="0.35">
      <c r="O551"/>
    </row>
    <row r="552" spans="15:15" x14ac:dyDescent="0.35">
      <c r="O552"/>
    </row>
    <row r="553" spans="15:15" x14ac:dyDescent="0.35">
      <c r="O553"/>
    </row>
    <row r="554" spans="15:15" x14ac:dyDescent="0.35">
      <c r="O554"/>
    </row>
    <row r="555" spans="15:15" x14ac:dyDescent="0.35">
      <c r="O555"/>
    </row>
    <row r="556" spans="15:15" x14ac:dyDescent="0.35">
      <c r="O556"/>
    </row>
    <row r="557" spans="15:15" x14ac:dyDescent="0.35">
      <c r="O557"/>
    </row>
    <row r="558" spans="15:15" x14ac:dyDescent="0.35">
      <c r="O558"/>
    </row>
    <row r="559" spans="15:15" x14ac:dyDescent="0.35">
      <c r="O559"/>
    </row>
    <row r="560" spans="15:15" x14ac:dyDescent="0.35">
      <c r="O560"/>
    </row>
    <row r="561" spans="15:15" x14ac:dyDescent="0.35">
      <c r="O561"/>
    </row>
    <row r="562" spans="15:15" x14ac:dyDescent="0.35">
      <c r="O562"/>
    </row>
    <row r="563" spans="15:15" x14ac:dyDescent="0.35">
      <c r="O563"/>
    </row>
    <row r="564" spans="15:15" x14ac:dyDescent="0.35">
      <c r="O564"/>
    </row>
    <row r="565" spans="15:15" x14ac:dyDescent="0.35">
      <c r="O565"/>
    </row>
    <row r="566" spans="15:15" x14ac:dyDescent="0.35">
      <c r="O566"/>
    </row>
    <row r="567" spans="15:15" x14ac:dyDescent="0.35">
      <c r="O567"/>
    </row>
    <row r="568" spans="15:15" x14ac:dyDescent="0.35">
      <c r="O568"/>
    </row>
    <row r="569" spans="15:15" x14ac:dyDescent="0.35">
      <c r="O569"/>
    </row>
    <row r="570" spans="15:15" x14ac:dyDescent="0.35">
      <c r="O570"/>
    </row>
    <row r="571" spans="15:15" x14ac:dyDescent="0.35">
      <c r="O571"/>
    </row>
    <row r="572" spans="15:15" x14ac:dyDescent="0.35">
      <c r="O572"/>
    </row>
    <row r="573" spans="15:15" x14ac:dyDescent="0.35">
      <c r="O573"/>
    </row>
    <row r="574" spans="15:15" x14ac:dyDescent="0.35">
      <c r="O574"/>
    </row>
    <row r="575" spans="15:15" x14ac:dyDescent="0.35">
      <c r="O575"/>
    </row>
    <row r="576" spans="15:15" x14ac:dyDescent="0.35">
      <c r="O576"/>
    </row>
    <row r="577" spans="15:15" x14ac:dyDescent="0.35">
      <c r="O577"/>
    </row>
    <row r="578" spans="15:15" x14ac:dyDescent="0.35">
      <c r="O578"/>
    </row>
    <row r="579" spans="15:15" x14ac:dyDescent="0.35">
      <c r="O579"/>
    </row>
    <row r="580" spans="15:15" x14ac:dyDescent="0.35">
      <c r="O580"/>
    </row>
    <row r="581" spans="15:15" x14ac:dyDescent="0.35">
      <c r="O581"/>
    </row>
    <row r="582" spans="15:15" x14ac:dyDescent="0.35">
      <c r="O582"/>
    </row>
    <row r="583" spans="15:15" x14ac:dyDescent="0.35">
      <c r="O583"/>
    </row>
    <row r="584" spans="15:15" x14ac:dyDescent="0.35">
      <c r="O584"/>
    </row>
    <row r="585" spans="15:15" x14ac:dyDescent="0.35">
      <c r="O585"/>
    </row>
    <row r="586" spans="15:15" x14ac:dyDescent="0.35">
      <c r="O586"/>
    </row>
    <row r="587" spans="15:15" x14ac:dyDescent="0.35">
      <c r="O587"/>
    </row>
    <row r="588" spans="15:15" x14ac:dyDescent="0.35">
      <c r="O588"/>
    </row>
    <row r="589" spans="15:15" x14ac:dyDescent="0.35">
      <c r="O589"/>
    </row>
    <row r="590" spans="15:15" x14ac:dyDescent="0.35">
      <c r="O590"/>
    </row>
    <row r="591" spans="15:15" x14ac:dyDescent="0.35">
      <c r="O591"/>
    </row>
    <row r="592" spans="15:15" x14ac:dyDescent="0.35">
      <c r="O592"/>
    </row>
    <row r="593" spans="15:15" x14ac:dyDescent="0.35">
      <c r="O593"/>
    </row>
    <row r="594" spans="15:15" x14ac:dyDescent="0.35">
      <c r="O594"/>
    </row>
    <row r="595" spans="15:15" x14ac:dyDescent="0.35">
      <c r="O595"/>
    </row>
    <row r="596" spans="15:15" x14ac:dyDescent="0.35">
      <c r="O596"/>
    </row>
    <row r="597" spans="15:15" x14ac:dyDescent="0.35">
      <c r="O597"/>
    </row>
    <row r="598" spans="15:15" x14ac:dyDescent="0.35">
      <c r="O598"/>
    </row>
    <row r="599" spans="15:15" x14ac:dyDescent="0.35">
      <c r="O599"/>
    </row>
    <row r="600" spans="15:15" x14ac:dyDescent="0.35">
      <c r="O600"/>
    </row>
    <row r="601" spans="15:15" x14ac:dyDescent="0.35">
      <c r="O601"/>
    </row>
    <row r="602" spans="15:15" x14ac:dyDescent="0.35">
      <c r="O602"/>
    </row>
    <row r="603" spans="15:15" x14ac:dyDescent="0.35">
      <c r="O603"/>
    </row>
    <row r="604" spans="15:15" x14ac:dyDescent="0.35">
      <c r="O604"/>
    </row>
    <row r="605" spans="15:15" x14ac:dyDescent="0.35">
      <c r="O605"/>
    </row>
    <row r="606" spans="15:15" x14ac:dyDescent="0.35">
      <c r="O606"/>
    </row>
    <row r="607" spans="15:15" x14ac:dyDescent="0.35">
      <c r="O607"/>
    </row>
    <row r="608" spans="15:15" x14ac:dyDescent="0.35">
      <c r="O608"/>
    </row>
    <row r="609" spans="15:15" x14ac:dyDescent="0.35">
      <c r="O609"/>
    </row>
    <row r="610" spans="15:15" x14ac:dyDescent="0.35">
      <c r="O610"/>
    </row>
    <row r="611" spans="15:15" x14ac:dyDescent="0.35">
      <c r="O611"/>
    </row>
    <row r="612" spans="15:15" x14ac:dyDescent="0.35">
      <c r="O612"/>
    </row>
    <row r="613" spans="15:15" x14ac:dyDescent="0.35">
      <c r="O613"/>
    </row>
    <row r="614" spans="15:15" x14ac:dyDescent="0.35">
      <c r="O614"/>
    </row>
    <row r="615" spans="15:15" x14ac:dyDescent="0.35">
      <c r="O615"/>
    </row>
    <row r="616" spans="15:15" x14ac:dyDescent="0.35">
      <c r="O616"/>
    </row>
    <row r="617" spans="15:15" x14ac:dyDescent="0.35">
      <c r="O617"/>
    </row>
    <row r="618" spans="15:15" x14ac:dyDescent="0.35">
      <c r="O618"/>
    </row>
    <row r="619" spans="15:15" x14ac:dyDescent="0.35">
      <c r="O619"/>
    </row>
    <row r="620" spans="15:15" x14ac:dyDescent="0.35">
      <c r="O620"/>
    </row>
    <row r="621" spans="15:15" x14ac:dyDescent="0.35">
      <c r="O621"/>
    </row>
    <row r="622" spans="15:15" x14ac:dyDescent="0.35">
      <c r="O622"/>
    </row>
    <row r="623" spans="15:15" x14ac:dyDescent="0.35">
      <c r="O623"/>
    </row>
    <row r="624" spans="15:15" x14ac:dyDescent="0.35">
      <c r="O624"/>
    </row>
    <row r="625" spans="15:15" x14ac:dyDescent="0.35">
      <c r="O625"/>
    </row>
    <row r="626" spans="15:15" x14ac:dyDescent="0.35">
      <c r="O626"/>
    </row>
    <row r="627" spans="15:15" x14ac:dyDescent="0.35">
      <c r="O627"/>
    </row>
    <row r="628" spans="15:15" x14ac:dyDescent="0.35">
      <c r="O628"/>
    </row>
    <row r="629" spans="15:15" x14ac:dyDescent="0.35">
      <c r="O629"/>
    </row>
    <row r="630" spans="15:15" x14ac:dyDescent="0.35">
      <c r="O630"/>
    </row>
    <row r="631" spans="15:15" x14ac:dyDescent="0.35">
      <c r="O631"/>
    </row>
    <row r="632" spans="15:15" x14ac:dyDescent="0.35">
      <c r="O632"/>
    </row>
    <row r="633" spans="15:15" x14ac:dyDescent="0.35">
      <c r="O633"/>
    </row>
    <row r="634" spans="15:15" x14ac:dyDescent="0.35">
      <c r="O634"/>
    </row>
    <row r="635" spans="15:15" x14ac:dyDescent="0.35">
      <c r="O635"/>
    </row>
    <row r="636" spans="15:15" x14ac:dyDescent="0.35">
      <c r="O636"/>
    </row>
    <row r="637" spans="15:15" x14ac:dyDescent="0.35">
      <c r="O637"/>
    </row>
    <row r="638" spans="15:15" x14ac:dyDescent="0.35">
      <c r="O638"/>
    </row>
    <row r="639" spans="15:15" x14ac:dyDescent="0.35">
      <c r="O639"/>
    </row>
    <row r="640" spans="15:15" x14ac:dyDescent="0.35">
      <c r="O640"/>
    </row>
    <row r="641" spans="15:15" x14ac:dyDescent="0.35">
      <c r="O641"/>
    </row>
    <row r="642" spans="15:15" x14ac:dyDescent="0.35">
      <c r="O642"/>
    </row>
    <row r="643" spans="15:15" x14ac:dyDescent="0.35">
      <c r="O643"/>
    </row>
    <row r="644" spans="15:15" x14ac:dyDescent="0.35">
      <c r="O644"/>
    </row>
    <row r="645" spans="15:15" x14ac:dyDescent="0.35">
      <c r="O645"/>
    </row>
    <row r="646" spans="15:15" x14ac:dyDescent="0.35">
      <c r="O646"/>
    </row>
    <row r="647" spans="15:15" x14ac:dyDescent="0.35">
      <c r="O647"/>
    </row>
    <row r="648" spans="15:15" x14ac:dyDescent="0.35">
      <c r="O648"/>
    </row>
    <row r="649" spans="15:15" x14ac:dyDescent="0.35">
      <c r="O649"/>
    </row>
    <row r="650" spans="15:15" x14ac:dyDescent="0.35">
      <c r="O650"/>
    </row>
    <row r="651" spans="15:15" x14ac:dyDescent="0.35">
      <c r="O651"/>
    </row>
    <row r="652" spans="15:15" x14ac:dyDescent="0.35">
      <c r="O652"/>
    </row>
    <row r="653" spans="15:15" x14ac:dyDescent="0.35">
      <c r="O653"/>
    </row>
    <row r="654" spans="15:15" x14ac:dyDescent="0.35">
      <c r="O654"/>
    </row>
    <row r="655" spans="15:15" x14ac:dyDescent="0.35">
      <c r="O655"/>
    </row>
    <row r="656" spans="15:15" x14ac:dyDescent="0.35">
      <c r="O656"/>
    </row>
    <row r="657" spans="15:15" x14ac:dyDescent="0.35">
      <c r="O657"/>
    </row>
    <row r="658" spans="15:15" x14ac:dyDescent="0.35">
      <c r="O658"/>
    </row>
    <row r="659" spans="15:15" x14ac:dyDescent="0.35">
      <c r="O659"/>
    </row>
    <row r="660" spans="15:15" x14ac:dyDescent="0.35">
      <c r="O660"/>
    </row>
    <row r="661" spans="15:15" x14ac:dyDescent="0.35">
      <c r="O661"/>
    </row>
    <row r="662" spans="15:15" x14ac:dyDescent="0.35">
      <c r="O662"/>
    </row>
    <row r="663" spans="15:15" x14ac:dyDescent="0.35">
      <c r="O663"/>
    </row>
    <row r="664" spans="15:15" x14ac:dyDescent="0.35">
      <c r="O664"/>
    </row>
    <row r="665" spans="15:15" x14ac:dyDescent="0.35">
      <c r="O665"/>
    </row>
    <row r="666" spans="15:15" x14ac:dyDescent="0.35">
      <c r="O666"/>
    </row>
    <row r="667" spans="15:15" x14ac:dyDescent="0.35">
      <c r="O667"/>
    </row>
    <row r="668" spans="15:15" x14ac:dyDescent="0.35">
      <c r="O668"/>
    </row>
    <row r="669" spans="15:15" x14ac:dyDescent="0.35">
      <c r="O669"/>
    </row>
    <row r="670" spans="15:15" x14ac:dyDescent="0.35">
      <c r="O670"/>
    </row>
    <row r="671" spans="15:15" x14ac:dyDescent="0.35">
      <c r="O671"/>
    </row>
    <row r="672" spans="15:15" x14ac:dyDescent="0.35">
      <c r="O672"/>
    </row>
    <row r="673" spans="15:15" x14ac:dyDescent="0.35">
      <c r="O673"/>
    </row>
    <row r="674" spans="15:15" x14ac:dyDescent="0.35">
      <c r="O674"/>
    </row>
    <row r="675" spans="15:15" x14ac:dyDescent="0.35">
      <c r="O675"/>
    </row>
    <row r="676" spans="15:15" x14ac:dyDescent="0.35">
      <c r="O676"/>
    </row>
    <row r="677" spans="15:15" x14ac:dyDescent="0.35">
      <c r="O677"/>
    </row>
    <row r="678" spans="15:15" x14ac:dyDescent="0.35">
      <c r="O678"/>
    </row>
    <row r="679" spans="15:15" x14ac:dyDescent="0.35">
      <c r="O679"/>
    </row>
    <row r="680" spans="15:15" x14ac:dyDescent="0.35">
      <c r="O680"/>
    </row>
    <row r="681" spans="15:15" x14ac:dyDescent="0.35">
      <c r="O681"/>
    </row>
    <row r="682" spans="15:15" x14ac:dyDescent="0.35">
      <c r="O682"/>
    </row>
    <row r="683" spans="15:15" x14ac:dyDescent="0.35">
      <c r="O683"/>
    </row>
    <row r="684" spans="15:15" x14ac:dyDescent="0.35">
      <c r="O684"/>
    </row>
    <row r="685" spans="15:15" x14ac:dyDescent="0.35">
      <c r="O685"/>
    </row>
    <row r="686" spans="15:15" x14ac:dyDescent="0.35">
      <c r="O686"/>
    </row>
    <row r="687" spans="15:15" x14ac:dyDescent="0.35">
      <c r="O687"/>
    </row>
    <row r="688" spans="15:15" x14ac:dyDescent="0.35">
      <c r="O688"/>
    </row>
    <row r="689" spans="15:15" x14ac:dyDescent="0.35">
      <c r="O689"/>
    </row>
    <row r="690" spans="15:15" x14ac:dyDescent="0.35">
      <c r="O690"/>
    </row>
    <row r="691" spans="15:15" x14ac:dyDescent="0.35">
      <c r="O691"/>
    </row>
    <row r="692" spans="15:15" x14ac:dyDescent="0.35">
      <c r="O692"/>
    </row>
    <row r="693" spans="15:15" x14ac:dyDescent="0.35">
      <c r="O693"/>
    </row>
    <row r="694" spans="15:15" x14ac:dyDescent="0.35">
      <c r="O694"/>
    </row>
    <row r="695" spans="15:15" x14ac:dyDescent="0.35">
      <c r="O695"/>
    </row>
    <row r="696" spans="15:15" x14ac:dyDescent="0.35">
      <c r="O696"/>
    </row>
    <row r="697" spans="15:15" x14ac:dyDescent="0.35">
      <c r="O697"/>
    </row>
    <row r="698" spans="15:15" x14ac:dyDescent="0.35">
      <c r="O698"/>
    </row>
    <row r="699" spans="15:15" x14ac:dyDescent="0.35">
      <c r="O699"/>
    </row>
    <row r="700" spans="15:15" x14ac:dyDescent="0.35">
      <c r="O700"/>
    </row>
    <row r="701" spans="15:15" x14ac:dyDescent="0.35">
      <c r="O701"/>
    </row>
    <row r="702" spans="15:15" x14ac:dyDescent="0.35">
      <c r="O702"/>
    </row>
    <row r="703" spans="15:15" x14ac:dyDescent="0.35">
      <c r="O703"/>
    </row>
    <row r="704" spans="15:15" x14ac:dyDescent="0.35">
      <c r="O704"/>
    </row>
    <row r="705" spans="15:15" x14ac:dyDescent="0.35">
      <c r="O705"/>
    </row>
    <row r="706" spans="15:15" x14ac:dyDescent="0.35">
      <c r="O706"/>
    </row>
    <row r="707" spans="15:15" x14ac:dyDescent="0.35">
      <c r="O707"/>
    </row>
    <row r="708" spans="15:15" x14ac:dyDescent="0.35">
      <c r="O708"/>
    </row>
    <row r="709" spans="15:15" x14ac:dyDescent="0.35">
      <c r="O709"/>
    </row>
    <row r="710" spans="15:15" x14ac:dyDescent="0.35">
      <c r="O710"/>
    </row>
    <row r="711" spans="15:15" x14ac:dyDescent="0.35">
      <c r="O711"/>
    </row>
    <row r="712" spans="15:15" x14ac:dyDescent="0.35">
      <c r="O712"/>
    </row>
    <row r="713" spans="15:15" x14ac:dyDescent="0.35">
      <c r="O713"/>
    </row>
    <row r="714" spans="15:15" x14ac:dyDescent="0.35">
      <c r="O714"/>
    </row>
    <row r="715" spans="15:15" x14ac:dyDescent="0.35">
      <c r="O715"/>
    </row>
    <row r="716" spans="15:15" x14ac:dyDescent="0.35">
      <c r="O716"/>
    </row>
    <row r="717" spans="15:15" x14ac:dyDescent="0.35">
      <c r="O717"/>
    </row>
    <row r="718" spans="15:15" x14ac:dyDescent="0.35">
      <c r="O718"/>
    </row>
    <row r="719" spans="15:15" x14ac:dyDescent="0.35">
      <c r="O719"/>
    </row>
    <row r="720" spans="15:15" x14ac:dyDescent="0.35">
      <c r="O720"/>
    </row>
    <row r="721" spans="15:15" x14ac:dyDescent="0.35">
      <c r="O721"/>
    </row>
    <row r="722" spans="15:15" x14ac:dyDescent="0.35">
      <c r="O722"/>
    </row>
    <row r="723" spans="15:15" x14ac:dyDescent="0.35">
      <c r="O723"/>
    </row>
    <row r="724" spans="15:15" x14ac:dyDescent="0.35">
      <c r="O724"/>
    </row>
    <row r="725" spans="15:15" x14ac:dyDescent="0.35">
      <c r="O725"/>
    </row>
    <row r="726" spans="15:15" x14ac:dyDescent="0.35">
      <c r="O726"/>
    </row>
    <row r="727" spans="15:15" x14ac:dyDescent="0.35">
      <c r="O727"/>
    </row>
    <row r="728" spans="15:15" x14ac:dyDescent="0.35">
      <c r="O728"/>
    </row>
    <row r="729" spans="15:15" x14ac:dyDescent="0.35">
      <c r="O729"/>
    </row>
    <row r="730" spans="15:15" x14ac:dyDescent="0.35">
      <c r="O730"/>
    </row>
    <row r="731" spans="15:15" x14ac:dyDescent="0.35">
      <c r="O731"/>
    </row>
    <row r="732" spans="15:15" x14ac:dyDescent="0.35">
      <c r="O732"/>
    </row>
    <row r="733" spans="15:15" x14ac:dyDescent="0.35">
      <c r="O733"/>
    </row>
    <row r="734" spans="15:15" x14ac:dyDescent="0.35">
      <c r="O734"/>
    </row>
    <row r="735" spans="15:15" x14ac:dyDescent="0.35">
      <c r="O735"/>
    </row>
    <row r="736" spans="15:15" x14ac:dyDescent="0.35">
      <c r="O736"/>
    </row>
    <row r="737" spans="15:15" x14ac:dyDescent="0.35">
      <c r="O737"/>
    </row>
    <row r="738" spans="15:15" x14ac:dyDescent="0.35">
      <c r="O738"/>
    </row>
    <row r="739" spans="15:15" x14ac:dyDescent="0.35">
      <c r="O739"/>
    </row>
    <row r="740" spans="15:15" x14ac:dyDescent="0.35">
      <c r="O740"/>
    </row>
    <row r="741" spans="15:15" x14ac:dyDescent="0.35">
      <c r="O741"/>
    </row>
    <row r="742" spans="15:15" x14ac:dyDescent="0.35">
      <c r="O742"/>
    </row>
    <row r="743" spans="15:15" x14ac:dyDescent="0.35">
      <c r="O743"/>
    </row>
    <row r="744" spans="15:15" x14ac:dyDescent="0.35">
      <c r="O744"/>
    </row>
    <row r="745" spans="15:15" x14ac:dyDescent="0.35">
      <c r="O745"/>
    </row>
    <row r="746" spans="15:15" x14ac:dyDescent="0.35">
      <c r="O746"/>
    </row>
    <row r="747" spans="15:15" x14ac:dyDescent="0.35">
      <c r="O747"/>
    </row>
    <row r="748" spans="15:15" x14ac:dyDescent="0.35">
      <c r="O748"/>
    </row>
    <row r="749" spans="15:15" x14ac:dyDescent="0.35">
      <c r="O749"/>
    </row>
    <row r="750" spans="15:15" x14ac:dyDescent="0.35">
      <c r="O750"/>
    </row>
    <row r="751" spans="15:15" x14ac:dyDescent="0.35">
      <c r="O751"/>
    </row>
    <row r="752" spans="15:15" x14ac:dyDescent="0.35">
      <c r="O752"/>
    </row>
    <row r="753" spans="15:15" x14ac:dyDescent="0.35">
      <c r="O753"/>
    </row>
    <row r="754" spans="15:15" x14ac:dyDescent="0.35">
      <c r="O754"/>
    </row>
    <row r="755" spans="15:15" x14ac:dyDescent="0.35">
      <c r="O755"/>
    </row>
    <row r="756" spans="15:15" x14ac:dyDescent="0.35">
      <c r="O756"/>
    </row>
    <row r="757" spans="15:15" x14ac:dyDescent="0.35">
      <c r="O757"/>
    </row>
    <row r="758" spans="15:15" x14ac:dyDescent="0.35">
      <c r="O758"/>
    </row>
    <row r="759" spans="15:15" x14ac:dyDescent="0.35">
      <c r="O759"/>
    </row>
    <row r="760" spans="15:15" x14ac:dyDescent="0.35">
      <c r="O760"/>
    </row>
    <row r="761" spans="15:15" x14ac:dyDescent="0.35">
      <c r="O761"/>
    </row>
    <row r="762" spans="15:15" x14ac:dyDescent="0.35">
      <c r="O762"/>
    </row>
    <row r="763" spans="15:15" x14ac:dyDescent="0.35">
      <c r="O763"/>
    </row>
    <row r="764" spans="15:15" x14ac:dyDescent="0.35">
      <c r="O764"/>
    </row>
    <row r="765" spans="15:15" x14ac:dyDescent="0.35">
      <c r="O765"/>
    </row>
    <row r="766" spans="15:15" x14ac:dyDescent="0.35">
      <c r="O766"/>
    </row>
    <row r="767" spans="15:15" x14ac:dyDescent="0.35">
      <c r="O767"/>
    </row>
    <row r="768" spans="15:15" x14ac:dyDescent="0.35">
      <c r="O768"/>
    </row>
    <row r="769" spans="15:15" x14ac:dyDescent="0.35">
      <c r="O769"/>
    </row>
    <row r="770" spans="15:15" x14ac:dyDescent="0.35">
      <c r="O770"/>
    </row>
    <row r="771" spans="15:15" x14ac:dyDescent="0.35">
      <c r="O771"/>
    </row>
    <row r="772" spans="15:15" x14ac:dyDescent="0.35">
      <c r="O772"/>
    </row>
    <row r="773" spans="15:15" x14ac:dyDescent="0.35">
      <c r="O773"/>
    </row>
    <row r="774" spans="15:15" x14ac:dyDescent="0.35">
      <c r="O774"/>
    </row>
    <row r="775" spans="15:15" x14ac:dyDescent="0.35">
      <c r="O775"/>
    </row>
    <row r="776" spans="15:15" x14ac:dyDescent="0.35">
      <c r="O776"/>
    </row>
    <row r="777" spans="15:15" x14ac:dyDescent="0.35">
      <c r="O777"/>
    </row>
    <row r="778" spans="15:15" x14ac:dyDescent="0.35">
      <c r="O778"/>
    </row>
    <row r="779" spans="15:15" x14ac:dyDescent="0.35">
      <c r="O779"/>
    </row>
    <row r="780" spans="15:15" x14ac:dyDescent="0.35">
      <c r="O780"/>
    </row>
    <row r="781" spans="15:15" x14ac:dyDescent="0.35">
      <c r="O781"/>
    </row>
    <row r="782" spans="15:15" x14ac:dyDescent="0.35">
      <c r="O782"/>
    </row>
    <row r="783" spans="15:15" x14ac:dyDescent="0.35">
      <c r="O783"/>
    </row>
    <row r="784" spans="15:15" x14ac:dyDescent="0.35">
      <c r="O784"/>
    </row>
    <row r="785" spans="15:15" x14ac:dyDescent="0.35">
      <c r="O785"/>
    </row>
    <row r="786" spans="15:15" x14ac:dyDescent="0.35">
      <c r="O786"/>
    </row>
    <row r="787" spans="15:15" x14ac:dyDescent="0.35">
      <c r="O787"/>
    </row>
    <row r="788" spans="15:15" x14ac:dyDescent="0.35">
      <c r="O788"/>
    </row>
    <row r="789" spans="15:15" x14ac:dyDescent="0.35">
      <c r="O789"/>
    </row>
    <row r="790" spans="15:15" x14ac:dyDescent="0.35">
      <c r="O790"/>
    </row>
    <row r="791" spans="15:15" x14ac:dyDescent="0.35">
      <c r="O791"/>
    </row>
    <row r="792" spans="15:15" x14ac:dyDescent="0.35">
      <c r="O792"/>
    </row>
    <row r="793" spans="15:15" x14ac:dyDescent="0.35">
      <c r="O793"/>
    </row>
    <row r="794" spans="15:15" x14ac:dyDescent="0.35">
      <c r="O794"/>
    </row>
    <row r="795" spans="15:15" x14ac:dyDescent="0.35">
      <c r="O795"/>
    </row>
    <row r="796" spans="15:15" x14ac:dyDescent="0.35">
      <c r="O796"/>
    </row>
    <row r="797" spans="15:15" x14ac:dyDescent="0.35">
      <c r="O797"/>
    </row>
    <row r="798" spans="15:15" x14ac:dyDescent="0.35">
      <c r="O798"/>
    </row>
    <row r="799" spans="15:15" x14ac:dyDescent="0.35">
      <c r="O799"/>
    </row>
    <row r="800" spans="15:15" x14ac:dyDescent="0.35">
      <c r="O800"/>
    </row>
    <row r="801" spans="15:15" x14ac:dyDescent="0.35">
      <c r="O801"/>
    </row>
    <row r="802" spans="15:15" x14ac:dyDescent="0.35">
      <c r="O802"/>
    </row>
    <row r="803" spans="15:15" x14ac:dyDescent="0.35">
      <c r="O803"/>
    </row>
    <row r="804" spans="15:15" x14ac:dyDescent="0.35">
      <c r="O804"/>
    </row>
    <row r="805" spans="15:15" x14ac:dyDescent="0.35">
      <c r="O805"/>
    </row>
    <row r="806" spans="15:15" x14ac:dyDescent="0.35">
      <c r="O806"/>
    </row>
    <row r="807" spans="15:15" x14ac:dyDescent="0.35">
      <c r="O807"/>
    </row>
    <row r="808" spans="15:15" x14ac:dyDescent="0.35">
      <c r="O808"/>
    </row>
    <row r="809" spans="15:15" x14ac:dyDescent="0.35">
      <c r="O809"/>
    </row>
    <row r="810" spans="15:15" x14ac:dyDescent="0.35">
      <c r="O810"/>
    </row>
    <row r="811" spans="15:15" x14ac:dyDescent="0.35">
      <c r="O811"/>
    </row>
    <row r="812" spans="15:15" x14ac:dyDescent="0.35">
      <c r="O812"/>
    </row>
    <row r="813" spans="15:15" x14ac:dyDescent="0.35">
      <c r="O813"/>
    </row>
    <row r="814" spans="15:15" x14ac:dyDescent="0.35">
      <c r="O814"/>
    </row>
    <row r="815" spans="15:15" x14ac:dyDescent="0.35">
      <c r="O815"/>
    </row>
    <row r="816" spans="15:15" x14ac:dyDescent="0.35">
      <c r="O816"/>
    </row>
    <row r="817" spans="15:15" x14ac:dyDescent="0.35">
      <c r="O817"/>
    </row>
    <row r="818" spans="15:15" x14ac:dyDescent="0.35">
      <c r="O818"/>
    </row>
    <row r="819" spans="15:15" x14ac:dyDescent="0.35">
      <c r="O819"/>
    </row>
    <row r="820" spans="15:15" x14ac:dyDescent="0.35">
      <c r="O820"/>
    </row>
    <row r="821" spans="15:15" x14ac:dyDescent="0.35">
      <c r="O821"/>
    </row>
    <row r="822" spans="15:15" x14ac:dyDescent="0.35">
      <c r="O822"/>
    </row>
    <row r="823" spans="15:15" x14ac:dyDescent="0.35">
      <c r="O823"/>
    </row>
    <row r="824" spans="15:15" x14ac:dyDescent="0.35">
      <c r="O824"/>
    </row>
    <row r="825" spans="15:15" x14ac:dyDescent="0.35">
      <c r="O825"/>
    </row>
    <row r="826" spans="15:15" x14ac:dyDescent="0.35">
      <c r="O826"/>
    </row>
    <row r="827" spans="15:15" x14ac:dyDescent="0.35">
      <c r="O827"/>
    </row>
    <row r="828" spans="15:15" x14ac:dyDescent="0.35">
      <c r="O828"/>
    </row>
    <row r="829" spans="15:15" x14ac:dyDescent="0.35">
      <c r="O829"/>
    </row>
    <row r="830" spans="15:15" x14ac:dyDescent="0.35">
      <c r="O830"/>
    </row>
    <row r="831" spans="15:15" x14ac:dyDescent="0.35">
      <c r="O831"/>
    </row>
    <row r="832" spans="15:15" x14ac:dyDescent="0.35">
      <c r="O832"/>
    </row>
    <row r="833" spans="15:15" x14ac:dyDescent="0.35">
      <c r="O833"/>
    </row>
    <row r="834" spans="15:15" x14ac:dyDescent="0.35">
      <c r="O834"/>
    </row>
    <row r="835" spans="15:15" x14ac:dyDescent="0.35">
      <c r="O835"/>
    </row>
    <row r="836" spans="15:15" x14ac:dyDescent="0.35">
      <c r="O836"/>
    </row>
    <row r="837" spans="15:15" x14ac:dyDescent="0.35">
      <c r="O837"/>
    </row>
    <row r="838" spans="15:15" x14ac:dyDescent="0.35">
      <c r="O838"/>
    </row>
    <row r="839" spans="15:15" x14ac:dyDescent="0.35">
      <c r="O839"/>
    </row>
    <row r="840" spans="15:15" x14ac:dyDescent="0.35">
      <c r="O840"/>
    </row>
    <row r="841" spans="15:15" x14ac:dyDescent="0.35">
      <c r="O841"/>
    </row>
    <row r="842" spans="15:15" x14ac:dyDescent="0.35">
      <c r="O842"/>
    </row>
    <row r="843" spans="15:15" x14ac:dyDescent="0.35">
      <c r="O843"/>
    </row>
    <row r="844" spans="15:15" x14ac:dyDescent="0.35">
      <c r="O844"/>
    </row>
    <row r="845" spans="15:15" x14ac:dyDescent="0.35">
      <c r="O845"/>
    </row>
    <row r="846" spans="15:15" x14ac:dyDescent="0.35">
      <c r="O846"/>
    </row>
    <row r="847" spans="15:15" x14ac:dyDescent="0.35">
      <c r="O847"/>
    </row>
    <row r="848" spans="15:15" x14ac:dyDescent="0.35">
      <c r="O848"/>
    </row>
    <row r="849" spans="15:15" x14ac:dyDescent="0.35">
      <c r="O849"/>
    </row>
    <row r="850" spans="15:15" x14ac:dyDescent="0.35">
      <c r="O850"/>
    </row>
    <row r="851" spans="15:15" x14ac:dyDescent="0.35">
      <c r="O851"/>
    </row>
    <row r="852" spans="15:15" x14ac:dyDescent="0.35">
      <c r="O852"/>
    </row>
    <row r="853" spans="15:15" x14ac:dyDescent="0.35">
      <c r="O853"/>
    </row>
    <row r="854" spans="15:15" x14ac:dyDescent="0.35">
      <c r="O854"/>
    </row>
    <row r="855" spans="15:15" x14ac:dyDescent="0.35">
      <c r="O855"/>
    </row>
    <row r="856" spans="15:15" x14ac:dyDescent="0.35">
      <c r="O856"/>
    </row>
    <row r="857" spans="15:15" x14ac:dyDescent="0.35">
      <c r="O857"/>
    </row>
    <row r="858" spans="15:15" x14ac:dyDescent="0.35">
      <c r="O858"/>
    </row>
    <row r="859" spans="15:15" x14ac:dyDescent="0.35">
      <c r="O859"/>
    </row>
    <row r="860" spans="15:15" x14ac:dyDescent="0.35">
      <c r="O860"/>
    </row>
    <row r="861" spans="15:15" x14ac:dyDescent="0.35">
      <c r="O861"/>
    </row>
    <row r="862" spans="15:15" x14ac:dyDescent="0.35">
      <c r="O862"/>
    </row>
    <row r="863" spans="15:15" x14ac:dyDescent="0.35">
      <c r="O863"/>
    </row>
    <row r="864" spans="15:15" x14ac:dyDescent="0.35">
      <c r="O864"/>
    </row>
    <row r="865" spans="15:15" x14ac:dyDescent="0.35">
      <c r="O865"/>
    </row>
    <row r="866" spans="15:15" x14ac:dyDescent="0.35">
      <c r="O866"/>
    </row>
    <row r="867" spans="15:15" x14ac:dyDescent="0.35">
      <c r="O867"/>
    </row>
    <row r="868" spans="15:15" x14ac:dyDescent="0.35">
      <c r="O868"/>
    </row>
    <row r="869" spans="15:15" x14ac:dyDescent="0.35">
      <c r="O869"/>
    </row>
    <row r="870" spans="15:15" x14ac:dyDescent="0.35">
      <c r="O870"/>
    </row>
    <row r="871" spans="15:15" x14ac:dyDescent="0.35">
      <c r="O871"/>
    </row>
    <row r="872" spans="15:15" x14ac:dyDescent="0.35">
      <c r="O872"/>
    </row>
    <row r="873" spans="15:15" x14ac:dyDescent="0.35">
      <c r="O873"/>
    </row>
    <row r="874" spans="15:15" x14ac:dyDescent="0.35">
      <c r="O874"/>
    </row>
    <row r="875" spans="15:15" x14ac:dyDescent="0.35">
      <c r="O875"/>
    </row>
    <row r="876" spans="15:15" x14ac:dyDescent="0.35">
      <c r="O876"/>
    </row>
    <row r="877" spans="15:15" x14ac:dyDescent="0.35">
      <c r="O877"/>
    </row>
    <row r="878" spans="15:15" x14ac:dyDescent="0.35">
      <c r="O878"/>
    </row>
    <row r="879" spans="15:15" x14ac:dyDescent="0.35">
      <c r="O879"/>
    </row>
    <row r="880" spans="15:15" x14ac:dyDescent="0.35">
      <c r="O880"/>
    </row>
    <row r="881" spans="15:15" x14ac:dyDescent="0.35">
      <c r="O881"/>
    </row>
    <row r="882" spans="15:15" x14ac:dyDescent="0.35">
      <c r="O882"/>
    </row>
    <row r="883" spans="15:15" x14ac:dyDescent="0.35">
      <c r="O883"/>
    </row>
    <row r="884" spans="15:15" x14ac:dyDescent="0.35">
      <c r="O884"/>
    </row>
    <row r="885" spans="15:15" x14ac:dyDescent="0.35">
      <c r="O885"/>
    </row>
    <row r="886" spans="15:15" x14ac:dyDescent="0.35">
      <c r="O886"/>
    </row>
    <row r="887" spans="15:15" x14ac:dyDescent="0.35">
      <c r="O887"/>
    </row>
    <row r="888" spans="15:15" x14ac:dyDescent="0.35">
      <c r="O888"/>
    </row>
    <row r="889" spans="15:15" x14ac:dyDescent="0.35">
      <c r="O889"/>
    </row>
    <row r="890" spans="15:15" x14ac:dyDescent="0.35">
      <c r="O890"/>
    </row>
    <row r="891" spans="15:15" x14ac:dyDescent="0.35">
      <c r="O891"/>
    </row>
    <row r="892" spans="15:15" x14ac:dyDescent="0.35">
      <c r="O892"/>
    </row>
    <row r="893" spans="15:15" x14ac:dyDescent="0.35">
      <c r="O893"/>
    </row>
    <row r="894" spans="15:15" x14ac:dyDescent="0.35">
      <c r="O894"/>
    </row>
    <row r="895" spans="15:15" x14ac:dyDescent="0.35">
      <c r="O895"/>
    </row>
    <row r="896" spans="15:15" x14ac:dyDescent="0.35">
      <c r="O896"/>
    </row>
    <row r="897" spans="15:15" x14ac:dyDescent="0.35">
      <c r="O897"/>
    </row>
    <row r="898" spans="15:15" x14ac:dyDescent="0.35">
      <c r="O898"/>
    </row>
    <row r="899" spans="15:15" x14ac:dyDescent="0.35">
      <c r="O899"/>
    </row>
    <row r="900" spans="15:15" x14ac:dyDescent="0.35">
      <c r="O900"/>
    </row>
    <row r="901" spans="15:15" x14ac:dyDescent="0.35">
      <c r="O901"/>
    </row>
    <row r="902" spans="15:15" x14ac:dyDescent="0.35">
      <c r="O902"/>
    </row>
    <row r="903" spans="15:15" x14ac:dyDescent="0.35">
      <c r="O903"/>
    </row>
    <row r="904" spans="15:15" x14ac:dyDescent="0.35">
      <c r="O904"/>
    </row>
    <row r="905" spans="15:15" x14ac:dyDescent="0.35">
      <c r="O905"/>
    </row>
    <row r="906" spans="15:15" x14ac:dyDescent="0.35">
      <c r="O906"/>
    </row>
    <row r="907" spans="15:15" x14ac:dyDescent="0.35">
      <c r="O907"/>
    </row>
    <row r="908" spans="15:15" x14ac:dyDescent="0.35">
      <c r="O908"/>
    </row>
    <row r="909" spans="15:15" x14ac:dyDescent="0.35">
      <c r="O909"/>
    </row>
    <row r="910" spans="15:15" x14ac:dyDescent="0.35">
      <c r="O910"/>
    </row>
    <row r="911" spans="15:15" x14ac:dyDescent="0.35">
      <c r="O911"/>
    </row>
    <row r="912" spans="15:15" x14ac:dyDescent="0.35">
      <c r="O912"/>
    </row>
    <row r="913" spans="15:15" x14ac:dyDescent="0.35">
      <c r="O913"/>
    </row>
    <row r="914" spans="15:15" x14ac:dyDescent="0.35">
      <c r="O914"/>
    </row>
    <row r="915" spans="15:15" x14ac:dyDescent="0.35">
      <c r="O915"/>
    </row>
    <row r="916" spans="15:15" x14ac:dyDescent="0.35">
      <c r="O916"/>
    </row>
    <row r="917" spans="15:15" x14ac:dyDescent="0.35">
      <c r="O917"/>
    </row>
    <row r="918" spans="15:15" x14ac:dyDescent="0.35">
      <c r="O918"/>
    </row>
    <row r="919" spans="15:15" x14ac:dyDescent="0.35">
      <c r="O919"/>
    </row>
    <row r="920" spans="15:15" x14ac:dyDescent="0.35">
      <c r="O920"/>
    </row>
    <row r="921" spans="15:15" x14ac:dyDescent="0.35">
      <c r="O921"/>
    </row>
    <row r="922" spans="15:15" x14ac:dyDescent="0.35">
      <c r="O922"/>
    </row>
    <row r="923" spans="15:15" x14ac:dyDescent="0.35">
      <c r="O923"/>
    </row>
    <row r="924" spans="15:15" x14ac:dyDescent="0.35">
      <c r="O924"/>
    </row>
    <row r="925" spans="15:15" x14ac:dyDescent="0.35">
      <c r="O925"/>
    </row>
    <row r="926" spans="15:15" x14ac:dyDescent="0.35">
      <c r="O926"/>
    </row>
    <row r="927" spans="15:15" x14ac:dyDescent="0.35">
      <c r="O927"/>
    </row>
    <row r="928" spans="15:15" x14ac:dyDescent="0.35">
      <c r="O928"/>
    </row>
    <row r="929" spans="15:15" x14ac:dyDescent="0.35">
      <c r="O929"/>
    </row>
    <row r="930" spans="15:15" x14ac:dyDescent="0.35">
      <c r="O930"/>
    </row>
    <row r="931" spans="15:15" x14ac:dyDescent="0.35">
      <c r="O931"/>
    </row>
    <row r="932" spans="15:15" x14ac:dyDescent="0.35">
      <c r="O932"/>
    </row>
    <row r="933" spans="15:15" x14ac:dyDescent="0.35">
      <c r="O933"/>
    </row>
    <row r="934" spans="15:15" x14ac:dyDescent="0.35">
      <c r="O934"/>
    </row>
    <row r="935" spans="15:15" x14ac:dyDescent="0.35">
      <c r="O935"/>
    </row>
    <row r="936" spans="15:15" x14ac:dyDescent="0.35">
      <c r="O936"/>
    </row>
    <row r="937" spans="15:15" x14ac:dyDescent="0.35">
      <c r="O937"/>
    </row>
    <row r="938" spans="15:15" x14ac:dyDescent="0.35">
      <c r="O938"/>
    </row>
    <row r="939" spans="15:15" x14ac:dyDescent="0.35">
      <c r="O939"/>
    </row>
    <row r="940" spans="15:15" x14ac:dyDescent="0.35">
      <c r="O940"/>
    </row>
    <row r="941" spans="15:15" x14ac:dyDescent="0.35">
      <c r="O941"/>
    </row>
    <row r="942" spans="15:15" x14ac:dyDescent="0.35">
      <c r="O942"/>
    </row>
    <row r="943" spans="15:15" x14ac:dyDescent="0.35">
      <c r="O943"/>
    </row>
    <row r="944" spans="15:15" x14ac:dyDescent="0.35">
      <c r="O944"/>
    </row>
    <row r="945" spans="15:15" x14ac:dyDescent="0.35">
      <c r="O945"/>
    </row>
    <row r="946" spans="15:15" x14ac:dyDescent="0.35">
      <c r="O946"/>
    </row>
    <row r="947" spans="15:15" x14ac:dyDescent="0.35">
      <c r="O947"/>
    </row>
    <row r="948" spans="15:15" x14ac:dyDescent="0.35">
      <c r="O948"/>
    </row>
    <row r="949" spans="15:15" x14ac:dyDescent="0.35">
      <c r="O949"/>
    </row>
    <row r="950" spans="15:15" x14ac:dyDescent="0.35">
      <c r="O950"/>
    </row>
    <row r="951" spans="15:15" x14ac:dyDescent="0.35">
      <c r="O951"/>
    </row>
    <row r="952" spans="15:15" x14ac:dyDescent="0.35">
      <c r="O952"/>
    </row>
    <row r="953" spans="15:15" x14ac:dyDescent="0.35">
      <c r="O953"/>
    </row>
    <row r="954" spans="15:15" x14ac:dyDescent="0.35">
      <c r="O954"/>
    </row>
    <row r="955" spans="15:15" x14ac:dyDescent="0.35">
      <c r="O955"/>
    </row>
    <row r="956" spans="15:15" x14ac:dyDescent="0.35">
      <c r="O956"/>
    </row>
    <row r="957" spans="15:15" x14ac:dyDescent="0.35">
      <c r="O957"/>
    </row>
    <row r="958" spans="15:15" x14ac:dyDescent="0.35">
      <c r="O958"/>
    </row>
    <row r="959" spans="15:15" x14ac:dyDescent="0.35">
      <c r="O959"/>
    </row>
    <row r="960" spans="15:15" x14ac:dyDescent="0.35">
      <c r="O960"/>
    </row>
    <row r="961" spans="15:15" x14ac:dyDescent="0.35">
      <c r="O961"/>
    </row>
    <row r="962" spans="15:15" x14ac:dyDescent="0.35">
      <c r="O962"/>
    </row>
    <row r="963" spans="15:15" x14ac:dyDescent="0.35">
      <c r="O963"/>
    </row>
    <row r="964" spans="15:15" x14ac:dyDescent="0.35">
      <c r="O964"/>
    </row>
    <row r="965" spans="15:15" x14ac:dyDescent="0.35">
      <c r="O965"/>
    </row>
    <row r="966" spans="15:15" x14ac:dyDescent="0.35">
      <c r="O966"/>
    </row>
    <row r="967" spans="15:15" x14ac:dyDescent="0.35">
      <c r="O967"/>
    </row>
    <row r="968" spans="15:15" x14ac:dyDescent="0.35">
      <c r="O968"/>
    </row>
    <row r="969" spans="15:15" x14ac:dyDescent="0.35">
      <c r="O969"/>
    </row>
    <row r="970" spans="15:15" x14ac:dyDescent="0.35">
      <c r="O970"/>
    </row>
    <row r="971" spans="15:15" x14ac:dyDescent="0.35">
      <c r="O971"/>
    </row>
    <row r="972" spans="15:15" x14ac:dyDescent="0.35">
      <c r="O972"/>
    </row>
    <row r="973" spans="15:15" x14ac:dyDescent="0.35">
      <c r="O973"/>
    </row>
    <row r="974" spans="15:15" x14ac:dyDescent="0.35">
      <c r="O974"/>
    </row>
    <row r="975" spans="15:15" x14ac:dyDescent="0.35">
      <c r="O975"/>
    </row>
    <row r="976" spans="15:15" x14ac:dyDescent="0.35">
      <c r="O976"/>
    </row>
    <row r="977" spans="15:15" x14ac:dyDescent="0.35">
      <c r="O977"/>
    </row>
    <row r="978" spans="15:15" x14ac:dyDescent="0.35">
      <c r="O978"/>
    </row>
    <row r="979" spans="15:15" x14ac:dyDescent="0.35">
      <c r="O979"/>
    </row>
    <row r="980" spans="15:15" x14ac:dyDescent="0.35">
      <c r="O980"/>
    </row>
    <row r="981" spans="15:15" x14ac:dyDescent="0.35">
      <c r="O981"/>
    </row>
    <row r="982" spans="15:15" x14ac:dyDescent="0.35">
      <c r="O982"/>
    </row>
    <row r="983" spans="15:15" x14ac:dyDescent="0.35">
      <c r="O983"/>
    </row>
    <row r="984" spans="15:15" x14ac:dyDescent="0.35">
      <c r="O984"/>
    </row>
    <row r="985" spans="15:15" x14ac:dyDescent="0.35">
      <c r="O985"/>
    </row>
    <row r="986" spans="15:15" x14ac:dyDescent="0.35">
      <c r="O986"/>
    </row>
    <row r="987" spans="15:15" x14ac:dyDescent="0.35">
      <c r="O987"/>
    </row>
    <row r="988" spans="15:15" x14ac:dyDescent="0.35">
      <c r="O988"/>
    </row>
    <row r="989" spans="15:15" x14ac:dyDescent="0.35">
      <c r="O989"/>
    </row>
    <row r="990" spans="15:15" x14ac:dyDescent="0.35">
      <c r="O990"/>
    </row>
    <row r="991" spans="15:15" x14ac:dyDescent="0.35">
      <c r="O991"/>
    </row>
    <row r="992" spans="15:15" x14ac:dyDescent="0.35">
      <c r="O992"/>
    </row>
    <row r="993" spans="15:15" x14ac:dyDescent="0.35">
      <c r="O993"/>
    </row>
    <row r="994" spans="15:15" x14ac:dyDescent="0.35">
      <c r="O994"/>
    </row>
    <row r="995" spans="15:15" x14ac:dyDescent="0.35">
      <c r="O995"/>
    </row>
    <row r="996" spans="15:15" x14ac:dyDescent="0.35">
      <c r="O996"/>
    </row>
    <row r="997" spans="15:15" x14ac:dyDescent="0.35">
      <c r="O997"/>
    </row>
    <row r="998" spans="15:15" x14ac:dyDescent="0.35">
      <c r="O998"/>
    </row>
    <row r="999" spans="15:15" x14ac:dyDescent="0.35">
      <c r="O999"/>
    </row>
    <row r="1000" spans="15:15" x14ac:dyDescent="0.35">
      <c r="O1000"/>
    </row>
    <row r="1001" spans="15:15" x14ac:dyDescent="0.35">
      <c r="O1001"/>
    </row>
    <row r="1002" spans="15:15" x14ac:dyDescent="0.35">
      <c r="O1002"/>
    </row>
    <row r="1003" spans="15:15" x14ac:dyDescent="0.35">
      <c r="O1003"/>
    </row>
    <row r="1004" spans="15:15" x14ac:dyDescent="0.35">
      <c r="O1004"/>
    </row>
    <row r="1005" spans="15:15" x14ac:dyDescent="0.35">
      <c r="O1005"/>
    </row>
    <row r="1006" spans="15:15" x14ac:dyDescent="0.35">
      <c r="O1006"/>
    </row>
    <row r="1007" spans="15:15" x14ac:dyDescent="0.35">
      <c r="O1007"/>
    </row>
    <row r="1008" spans="15:15" x14ac:dyDescent="0.35">
      <c r="O1008"/>
    </row>
    <row r="1009" spans="15:15" x14ac:dyDescent="0.35">
      <c r="O1009"/>
    </row>
    <row r="1010" spans="15:15" x14ac:dyDescent="0.35">
      <c r="O1010"/>
    </row>
    <row r="1011" spans="15:15" x14ac:dyDescent="0.35">
      <c r="O1011"/>
    </row>
    <row r="1012" spans="15:15" x14ac:dyDescent="0.35">
      <c r="O1012"/>
    </row>
    <row r="1013" spans="15:15" x14ac:dyDescent="0.35">
      <c r="O1013"/>
    </row>
    <row r="1014" spans="15:15" x14ac:dyDescent="0.35">
      <c r="O1014"/>
    </row>
    <row r="1015" spans="15:15" x14ac:dyDescent="0.35">
      <c r="O1015"/>
    </row>
    <row r="1016" spans="15:15" x14ac:dyDescent="0.35">
      <c r="O1016"/>
    </row>
    <row r="1017" spans="15:15" x14ac:dyDescent="0.35">
      <c r="O1017"/>
    </row>
    <row r="1018" spans="15:15" x14ac:dyDescent="0.35">
      <c r="O1018"/>
    </row>
    <row r="1019" spans="15:15" x14ac:dyDescent="0.35">
      <c r="O1019"/>
    </row>
    <row r="1020" spans="15:15" x14ac:dyDescent="0.35">
      <c r="O1020"/>
    </row>
    <row r="1021" spans="15:15" x14ac:dyDescent="0.35">
      <c r="O1021"/>
    </row>
    <row r="1022" spans="15:15" x14ac:dyDescent="0.35">
      <c r="O1022"/>
    </row>
    <row r="1023" spans="15:15" x14ac:dyDescent="0.35">
      <c r="O1023"/>
    </row>
    <row r="1024" spans="15:15" x14ac:dyDescent="0.35">
      <c r="O1024"/>
    </row>
    <row r="1025" spans="15:15" x14ac:dyDescent="0.35">
      <c r="O1025"/>
    </row>
    <row r="1026" spans="15:15" x14ac:dyDescent="0.35">
      <c r="O1026"/>
    </row>
    <row r="1027" spans="15:15" x14ac:dyDescent="0.35">
      <c r="O1027"/>
    </row>
    <row r="1028" spans="15:15" x14ac:dyDescent="0.35">
      <c r="O1028"/>
    </row>
    <row r="1029" spans="15:15" x14ac:dyDescent="0.35">
      <c r="O1029"/>
    </row>
    <row r="1030" spans="15:15" x14ac:dyDescent="0.35">
      <c r="O1030"/>
    </row>
    <row r="1031" spans="15:15" x14ac:dyDescent="0.35">
      <c r="O1031"/>
    </row>
    <row r="1032" spans="15:15" x14ac:dyDescent="0.35">
      <c r="O1032"/>
    </row>
    <row r="1033" spans="15:15" x14ac:dyDescent="0.35">
      <c r="O1033"/>
    </row>
    <row r="1034" spans="15:15" x14ac:dyDescent="0.35">
      <c r="O1034"/>
    </row>
    <row r="1035" spans="15:15" x14ac:dyDescent="0.35">
      <c r="O1035"/>
    </row>
    <row r="1036" spans="15:15" x14ac:dyDescent="0.35">
      <c r="O1036"/>
    </row>
    <row r="1037" spans="15:15" x14ac:dyDescent="0.35">
      <c r="O1037"/>
    </row>
    <row r="1038" spans="15:15" x14ac:dyDescent="0.35">
      <c r="O1038"/>
    </row>
    <row r="1039" spans="15:15" x14ac:dyDescent="0.35">
      <c r="O1039"/>
    </row>
    <row r="1040" spans="15:15" x14ac:dyDescent="0.35">
      <c r="O1040"/>
    </row>
    <row r="1041" spans="15:15" x14ac:dyDescent="0.35">
      <c r="O1041"/>
    </row>
    <row r="1042" spans="15:15" x14ac:dyDescent="0.35">
      <c r="O1042"/>
    </row>
    <row r="1043" spans="15:15" x14ac:dyDescent="0.35">
      <c r="O1043"/>
    </row>
    <row r="1044" spans="15:15" x14ac:dyDescent="0.35">
      <c r="O1044"/>
    </row>
    <row r="1045" spans="15:15" x14ac:dyDescent="0.35">
      <c r="O1045"/>
    </row>
    <row r="1046" spans="15:15" x14ac:dyDescent="0.35">
      <c r="O1046"/>
    </row>
    <row r="1047" spans="15:15" x14ac:dyDescent="0.35">
      <c r="O1047"/>
    </row>
    <row r="1048" spans="15:15" x14ac:dyDescent="0.35">
      <c r="O1048"/>
    </row>
    <row r="1049" spans="15:15" x14ac:dyDescent="0.35">
      <c r="O1049"/>
    </row>
    <row r="1050" spans="15:15" x14ac:dyDescent="0.35">
      <c r="O1050"/>
    </row>
    <row r="1051" spans="15:15" x14ac:dyDescent="0.35">
      <c r="O1051"/>
    </row>
    <row r="1052" spans="15:15" x14ac:dyDescent="0.35">
      <c r="O1052"/>
    </row>
    <row r="1053" spans="15:15" x14ac:dyDescent="0.35">
      <c r="O1053"/>
    </row>
    <row r="1054" spans="15:15" x14ac:dyDescent="0.35">
      <c r="O1054"/>
    </row>
    <row r="1055" spans="15:15" x14ac:dyDescent="0.35">
      <c r="O1055"/>
    </row>
    <row r="1056" spans="15:15" x14ac:dyDescent="0.35">
      <c r="O1056"/>
    </row>
    <row r="1057" spans="15:15" x14ac:dyDescent="0.35">
      <c r="O1057"/>
    </row>
    <row r="1058" spans="15:15" x14ac:dyDescent="0.35">
      <c r="O1058"/>
    </row>
    <row r="1059" spans="15:15" x14ac:dyDescent="0.35">
      <c r="O1059"/>
    </row>
    <row r="1060" spans="15:15" x14ac:dyDescent="0.35">
      <c r="O1060"/>
    </row>
    <row r="1061" spans="15:15" x14ac:dyDescent="0.35">
      <c r="O1061"/>
    </row>
    <row r="1062" spans="15:15" x14ac:dyDescent="0.35">
      <c r="O1062"/>
    </row>
    <row r="1063" spans="15:15" x14ac:dyDescent="0.35">
      <c r="O1063"/>
    </row>
    <row r="1064" spans="15:15" x14ac:dyDescent="0.35">
      <c r="O1064"/>
    </row>
    <row r="1065" spans="15:15" x14ac:dyDescent="0.35">
      <c r="O1065"/>
    </row>
    <row r="1066" spans="15:15" x14ac:dyDescent="0.35">
      <c r="O1066"/>
    </row>
    <row r="1067" spans="15:15" x14ac:dyDescent="0.35">
      <c r="O1067"/>
    </row>
    <row r="1068" spans="15:15" x14ac:dyDescent="0.35">
      <c r="O1068"/>
    </row>
    <row r="1069" spans="15:15" x14ac:dyDescent="0.35">
      <c r="O1069"/>
    </row>
    <row r="1070" spans="15:15" x14ac:dyDescent="0.35">
      <c r="O1070"/>
    </row>
    <row r="1071" spans="15:15" x14ac:dyDescent="0.35">
      <c r="O1071"/>
    </row>
    <row r="1072" spans="15:15" x14ac:dyDescent="0.35">
      <c r="O1072"/>
    </row>
    <row r="1073" spans="15:15" x14ac:dyDescent="0.35">
      <c r="O1073"/>
    </row>
    <row r="1074" spans="15:15" x14ac:dyDescent="0.35">
      <c r="O1074"/>
    </row>
    <row r="1075" spans="15:15" x14ac:dyDescent="0.35">
      <c r="O1075"/>
    </row>
    <row r="1076" spans="15:15" x14ac:dyDescent="0.35">
      <c r="O1076"/>
    </row>
    <row r="1077" spans="15:15" x14ac:dyDescent="0.35">
      <c r="O1077"/>
    </row>
    <row r="1078" spans="15:15" x14ac:dyDescent="0.35">
      <c r="O1078"/>
    </row>
    <row r="1079" spans="15:15" x14ac:dyDescent="0.35">
      <c r="O1079"/>
    </row>
    <row r="1080" spans="15:15" x14ac:dyDescent="0.35">
      <c r="O1080"/>
    </row>
    <row r="1081" spans="15:15" x14ac:dyDescent="0.35">
      <c r="O1081"/>
    </row>
    <row r="1082" spans="15:15" x14ac:dyDescent="0.35">
      <c r="O1082"/>
    </row>
    <row r="1083" spans="15:15" x14ac:dyDescent="0.35">
      <c r="O1083"/>
    </row>
    <row r="1084" spans="15:15" x14ac:dyDescent="0.35">
      <c r="O1084"/>
    </row>
    <row r="1085" spans="15:15" x14ac:dyDescent="0.35">
      <c r="O1085"/>
    </row>
    <row r="1086" spans="15:15" x14ac:dyDescent="0.35">
      <c r="O1086"/>
    </row>
    <row r="1087" spans="15:15" x14ac:dyDescent="0.35">
      <c r="O1087"/>
    </row>
    <row r="1088" spans="15:15" x14ac:dyDescent="0.35">
      <c r="O1088"/>
    </row>
    <row r="1089" spans="15:15" x14ac:dyDescent="0.35">
      <c r="O1089"/>
    </row>
    <row r="1090" spans="15:15" x14ac:dyDescent="0.35">
      <c r="O1090"/>
    </row>
    <row r="1091" spans="15:15" x14ac:dyDescent="0.35">
      <c r="O1091"/>
    </row>
    <row r="1092" spans="15:15" x14ac:dyDescent="0.35">
      <c r="O1092"/>
    </row>
    <row r="1093" spans="15:15" x14ac:dyDescent="0.35">
      <c r="O1093"/>
    </row>
    <row r="1094" spans="15:15" x14ac:dyDescent="0.35">
      <c r="O1094"/>
    </row>
    <row r="1095" spans="15:15" x14ac:dyDescent="0.35">
      <c r="O1095"/>
    </row>
    <row r="1096" spans="15:15" x14ac:dyDescent="0.35">
      <c r="O1096"/>
    </row>
    <row r="1097" spans="15:15" x14ac:dyDescent="0.35">
      <c r="O1097"/>
    </row>
    <row r="1098" spans="15:15" x14ac:dyDescent="0.35">
      <c r="O1098"/>
    </row>
    <row r="1099" spans="15:15" x14ac:dyDescent="0.35">
      <c r="O1099"/>
    </row>
    <row r="1100" spans="15:15" x14ac:dyDescent="0.35">
      <c r="O1100"/>
    </row>
    <row r="1101" spans="15:15" x14ac:dyDescent="0.35">
      <c r="O1101"/>
    </row>
    <row r="1102" spans="15:15" x14ac:dyDescent="0.35">
      <c r="O1102"/>
    </row>
    <row r="1103" spans="15:15" x14ac:dyDescent="0.35">
      <c r="O1103"/>
    </row>
    <row r="1104" spans="15:15" x14ac:dyDescent="0.35">
      <c r="O1104"/>
    </row>
    <row r="1105" spans="15:15" x14ac:dyDescent="0.35">
      <c r="O1105"/>
    </row>
    <row r="1106" spans="15:15" x14ac:dyDescent="0.35">
      <c r="O1106"/>
    </row>
    <row r="1107" spans="15:15" x14ac:dyDescent="0.35">
      <c r="O1107"/>
    </row>
    <row r="1108" spans="15:15" x14ac:dyDescent="0.35">
      <c r="O1108"/>
    </row>
    <row r="1109" spans="15:15" x14ac:dyDescent="0.35">
      <c r="O1109"/>
    </row>
    <row r="1110" spans="15:15" x14ac:dyDescent="0.35">
      <c r="O1110"/>
    </row>
    <row r="1111" spans="15:15" x14ac:dyDescent="0.35">
      <c r="O1111"/>
    </row>
    <row r="1112" spans="15:15" x14ac:dyDescent="0.35">
      <c r="O1112"/>
    </row>
    <row r="1113" spans="15:15" x14ac:dyDescent="0.35">
      <c r="O1113"/>
    </row>
    <row r="1114" spans="15:15" x14ac:dyDescent="0.35">
      <c r="O1114"/>
    </row>
    <row r="1115" spans="15:15" x14ac:dyDescent="0.35">
      <c r="O1115"/>
    </row>
    <row r="1116" spans="15:15" x14ac:dyDescent="0.35">
      <c r="O1116"/>
    </row>
    <row r="1117" spans="15:15" x14ac:dyDescent="0.35">
      <c r="O1117"/>
    </row>
    <row r="1118" spans="15:15" x14ac:dyDescent="0.35">
      <c r="O1118"/>
    </row>
    <row r="1119" spans="15:15" x14ac:dyDescent="0.35">
      <c r="O1119"/>
    </row>
    <row r="1120" spans="15:15" x14ac:dyDescent="0.35">
      <c r="O1120"/>
    </row>
    <row r="1121" spans="15:15" x14ac:dyDescent="0.35">
      <c r="O1121"/>
    </row>
    <row r="1122" spans="15:15" x14ac:dyDescent="0.35">
      <c r="O1122"/>
    </row>
    <row r="1123" spans="15:15" x14ac:dyDescent="0.35">
      <c r="O1123"/>
    </row>
    <row r="1124" spans="15:15" x14ac:dyDescent="0.35">
      <c r="O1124"/>
    </row>
    <row r="1125" spans="15:15" x14ac:dyDescent="0.35">
      <c r="O1125"/>
    </row>
    <row r="1126" spans="15:15" x14ac:dyDescent="0.35">
      <c r="O1126"/>
    </row>
    <row r="1127" spans="15:15" x14ac:dyDescent="0.35">
      <c r="O1127"/>
    </row>
    <row r="1128" spans="15:15" x14ac:dyDescent="0.35">
      <c r="O1128"/>
    </row>
    <row r="1129" spans="15:15" x14ac:dyDescent="0.35">
      <c r="O1129"/>
    </row>
    <row r="1130" spans="15:15" x14ac:dyDescent="0.35">
      <c r="O1130"/>
    </row>
    <row r="1131" spans="15:15" x14ac:dyDescent="0.35">
      <c r="O1131"/>
    </row>
    <row r="1132" spans="15:15" x14ac:dyDescent="0.35">
      <c r="O1132"/>
    </row>
    <row r="1133" spans="15:15" x14ac:dyDescent="0.35">
      <c r="O1133"/>
    </row>
    <row r="1134" spans="15:15" x14ac:dyDescent="0.35">
      <c r="O1134"/>
    </row>
    <row r="1135" spans="15:15" x14ac:dyDescent="0.35">
      <c r="O1135"/>
    </row>
    <row r="1136" spans="15:15" x14ac:dyDescent="0.35">
      <c r="O1136"/>
    </row>
    <row r="1137" spans="15:15" x14ac:dyDescent="0.35">
      <c r="O1137"/>
    </row>
    <row r="1138" spans="15:15" x14ac:dyDescent="0.35">
      <c r="O1138"/>
    </row>
    <row r="1139" spans="15:15" x14ac:dyDescent="0.35">
      <c r="O1139"/>
    </row>
    <row r="1140" spans="15:15" x14ac:dyDescent="0.35">
      <c r="O1140"/>
    </row>
    <row r="1141" spans="15:15" x14ac:dyDescent="0.35">
      <c r="O1141"/>
    </row>
    <row r="1142" spans="15:15" x14ac:dyDescent="0.35">
      <c r="O1142"/>
    </row>
    <row r="1143" spans="15:15" x14ac:dyDescent="0.35">
      <c r="O1143"/>
    </row>
    <row r="1144" spans="15:15" x14ac:dyDescent="0.35">
      <c r="O1144"/>
    </row>
    <row r="1145" spans="15:15" x14ac:dyDescent="0.35">
      <c r="O1145"/>
    </row>
    <row r="1146" spans="15:15" x14ac:dyDescent="0.35">
      <c r="O1146"/>
    </row>
    <row r="1147" spans="15:15" x14ac:dyDescent="0.35">
      <c r="O1147"/>
    </row>
    <row r="1148" spans="15:15" x14ac:dyDescent="0.35">
      <c r="O1148"/>
    </row>
    <row r="1149" spans="15:15" x14ac:dyDescent="0.35">
      <c r="O1149"/>
    </row>
    <row r="1150" spans="15:15" x14ac:dyDescent="0.35">
      <c r="O1150"/>
    </row>
    <row r="1151" spans="15:15" x14ac:dyDescent="0.35">
      <c r="O1151"/>
    </row>
    <row r="1152" spans="15:15" x14ac:dyDescent="0.35">
      <c r="O1152"/>
    </row>
    <row r="1153" spans="15:15" x14ac:dyDescent="0.35">
      <c r="O1153"/>
    </row>
    <row r="1154" spans="15:15" x14ac:dyDescent="0.35">
      <c r="O1154"/>
    </row>
    <row r="1155" spans="15:15" x14ac:dyDescent="0.35">
      <c r="O1155"/>
    </row>
    <row r="1156" spans="15:15" x14ac:dyDescent="0.35">
      <c r="O1156"/>
    </row>
    <row r="1157" spans="15:15" x14ac:dyDescent="0.35">
      <c r="O1157"/>
    </row>
    <row r="1158" spans="15:15" x14ac:dyDescent="0.35">
      <c r="O1158"/>
    </row>
    <row r="1159" spans="15:15" x14ac:dyDescent="0.35">
      <c r="O1159"/>
    </row>
    <row r="1160" spans="15:15" x14ac:dyDescent="0.35">
      <c r="O1160"/>
    </row>
    <row r="1161" spans="15:15" x14ac:dyDescent="0.35">
      <c r="O1161"/>
    </row>
    <row r="1162" spans="15:15" x14ac:dyDescent="0.35">
      <c r="O1162"/>
    </row>
    <row r="1163" spans="15:15" x14ac:dyDescent="0.35">
      <c r="O1163"/>
    </row>
    <row r="1164" spans="15:15" x14ac:dyDescent="0.35">
      <c r="O1164"/>
    </row>
    <row r="1165" spans="15:15" x14ac:dyDescent="0.35">
      <c r="O1165"/>
    </row>
    <row r="1166" spans="15:15" x14ac:dyDescent="0.35">
      <c r="O1166"/>
    </row>
    <row r="1167" spans="15:15" x14ac:dyDescent="0.35">
      <c r="O1167"/>
    </row>
    <row r="1168" spans="15:15" x14ac:dyDescent="0.35">
      <c r="O1168"/>
    </row>
    <row r="1169" spans="15:15" x14ac:dyDescent="0.35">
      <c r="O1169"/>
    </row>
    <row r="1170" spans="15:15" x14ac:dyDescent="0.35">
      <c r="O1170"/>
    </row>
    <row r="1171" spans="15:15" x14ac:dyDescent="0.35">
      <c r="O1171"/>
    </row>
    <row r="1172" spans="15:15" x14ac:dyDescent="0.35">
      <c r="O1172"/>
    </row>
    <row r="1173" spans="15:15" x14ac:dyDescent="0.35">
      <c r="O1173"/>
    </row>
    <row r="1174" spans="15:15" x14ac:dyDescent="0.35">
      <c r="O1174"/>
    </row>
    <row r="1175" spans="15:15" x14ac:dyDescent="0.35">
      <c r="O1175"/>
    </row>
    <row r="1176" spans="15:15" x14ac:dyDescent="0.35">
      <c r="O1176"/>
    </row>
    <row r="1177" spans="15:15" x14ac:dyDescent="0.35">
      <c r="O1177"/>
    </row>
    <row r="1178" spans="15:15" x14ac:dyDescent="0.35">
      <c r="O1178"/>
    </row>
    <row r="1179" spans="15:15" x14ac:dyDescent="0.35">
      <c r="O1179"/>
    </row>
    <row r="1180" spans="15:15" x14ac:dyDescent="0.35">
      <c r="O1180"/>
    </row>
    <row r="1181" spans="15:15" x14ac:dyDescent="0.35">
      <c r="O1181"/>
    </row>
    <row r="1182" spans="15:15" x14ac:dyDescent="0.35">
      <c r="O1182"/>
    </row>
    <row r="1183" spans="15:15" x14ac:dyDescent="0.35">
      <c r="O1183"/>
    </row>
    <row r="1184" spans="15:15" x14ac:dyDescent="0.35">
      <c r="O1184"/>
    </row>
    <row r="1185" spans="15:15" x14ac:dyDescent="0.35">
      <c r="O1185"/>
    </row>
    <row r="1186" spans="15:15" x14ac:dyDescent="0.35">
      <c r="O1186"/>
    </row>
    <row r="1187" spans="15:15" x14ac:dyDescent="0.35">
      <c r="O1187"/>
    </row>
    <row r="1188" spans="15:15" x14ac:dyDescent="0.35">
      <c r="O1188"/>
    </row>
    <row r="1189" spans="15:15" x14ac:dyDescent="0.35">
      <c r="O1189"/>
    </row>
    <row r="1190" spans="15:15" x14ac:dyDescent="0.35">
      <c r="O1190"/>
    </row>
    <row r="1191" spans="15:15" x14ac:dyDescent="0.35">
      <c r="O1191"/>
    </row>
    <row r="1192" spans="15:15" x14ac:dyDescent="0.35">
      <c r="O1192"/>
    </row>
    <row r="1193" spans="15:15" x14ac:dyDescent="0.35">
      <c r="O1193"/>
    </row>
    <row r="1194" spans="15:15" x14ac:dyDescent="0.35">
      <c r="O1194"/>
    </row>
    <row r="1195" spans="15:15" x14ac:dyDescent="0.35">
      <c r="O1195"/>
    </row>
    <row r="1196" spans="15:15" x14ac:dyDescent="0.35">
      <c r="O1196"/>
    </row>
    <row r="1197" spans="15:15" x14ac:dyDescent="0.35">
      <c r="O1197"/>
    </row>
    <row r="1198" spans="15:15" x14ac:dyDescent="0.35">
      <c r="O1198"/>
    </row>
    <row r="1199" spans="15:15" x14ac:dyDescent="0.35">
      <c r="O1199"/>
    </row>
    <row r="1200" spans="15:15" x14ac:dyDescent="0.35">
      <c r="O1200"/>
    </row>
    <row r="1201" spans="15:15" x14ac:dyDescent="0.35">
      <c r="O1201"/>
    </row>
    <row r="1202" spans="15:15" x14ac:dyDescent="0.35">
      <c r="O1202"/>
    </row>
    <row r="1203" spans="15:15" x14ac:dyDescent="0.35">
      <c r="O1203"/>
    </row>
    <row r="1204" spans="15:15" x14ac:dyDescent="0.35">
      <c r="O1204"/>
    </row>
    <row r="1205" spans="15:15" x14ac:dyDescent="0.35">
      <c r="O1205"/>
    </row>
    <row r="1206" spans="15:15" x14ac:dyDescent="0.35">
      <c r="O1206"/>
    </row>
    <row r="1207" spans="15:15" x14ac:dyDescent="0.35">
      <c r="O1207"/>
    </row>
    <row r="1208" spans="15:15" x14ac:dyDescent="0.35">
      <c r="O1208"/>
    </row>
    <row r="1209" spans="15:15" x14ac:dyDescent="0.35">
      <c r="O1209"/>
    </row>
    <row r="1210" spans="15:15" x14ac:dyDescent="0.35">
      <c r="O1210"/>
    </row>
    <row r="1211" spans="15:15" x14ac:dyDescent="0.35">
      <c r="O1211"/>
    </row>
    <row r="1212" spans="15:15" x14ac:dyDescent="0.35">
      <c r="O1212"/>
    </row>
    <row r="1213" spans="15:15" x14ac:dyDescent="0.35">
      <c r="O1213"/>
    </row>
    <row r="1214" spans="15:15" x14ac:dyDescent="0.35">
      <c r="O1214"/>
    </row>
    <row r="1215" spans="15:15" x14ac:dyDescent="0.35">
      <c r="O1215"/>
    </row>
    <row r="1216" spans="15:15" x14ac:dyDescent="0.35">
      <c r="O1216"/>
    </row>
    <row r="1217" spans="15:15" x14ac:dyDescent="0.35">
      <c r="O1217"/>
    </row>
    <row r="1218" spans="15:15" x14ac:dyDescent="0.35">
      <c r="O1218"/>
    </row>
    <row r="1219" spans="15:15" x14ac:dyDescent="0.35">
      <c r="O1219"/>
    </row>
    <row r="1220" spans="15:15" x14ac:dyDescent="0.35">
      <c r="O1220"/>
    </row>
    <row r="1221" spans="15:15" x14ac:dyDescent="0.35">
      <c r="O1221"/>
    </row>
    <row r="1222" spans="15:15" x14ac:dyDescent="0.35">
      <c r="O1222"/>
    </row>
    <row r="1223" spans="15:15" x14ac:dyDescent="0.35">
      <c r="O1223"/>
    </row>
    <row r="1224" spans="15:15" x14ac:dyDescent="0.35">
      <c r="O1224"/>
    </row>
    <row r="1225" spans="15:15" x14ac:dyDescent="0.35">
      <c r="O1225"/>
    </row>
    <row r="1226" spans="15:15" x14ac:dyDescent="0.35">
      <c r="O1226"/>
    </row>
    <row r="1227" spans="15:15" x14ac:dyDescent="0.35">
      <c r="O1227"/>
    </row>
    <row r="1228" spans="15:15" x14ac:dyDescent="0.35">
      <c r="O1228"/>
    </row>
    <row r="1229" spans="15:15" x14ac:dyDescent="0.35">
      <c r="O1229"/>
    </row>
    <row r="1230" spans="15:15" x14ac:dyDescent="0.35">
      <c r="O1230"/>
    </row>
    <row r="1231" spans="15:15" x14ac:dyDescent="0.35">
      <c r="O1231"/>
    </row>
    <row r="1232" spans="15:15" x14ac:dyDescent="0.35">
      <c r="O1232"/>
    </row>
    <row r="1233" spans="15:15" x14ac:dyDescent="0.35">
      <c r="O1233"/>
    </row>
    <row r="1234" spans="15:15" x14ac:dyDescent="0.35">
      <c r="O1234"/>
    </row>
    <row r="1235" spans="15:15" x14ac:dyDescent="0.35">
      <c r="O1235"/>
    </row>
    <row r="1236" spans="15:15" x14ac:dyDescent="0.35">
      <c r="O1236"/>
    </row>
    <row r="1237" spans="15:15" x14ac:dyDescent="0.35">
      <c r="O1237"/>
    </row>
    <row r="1238" spans="15:15" x14ac:dyDescent="0.35">
      <c r="O1238"/>
    </row>
    <row r="1239" spans="15:15" x14ac:dyDescent="0.35">
      <c r="O1239"/>
    </row>
    <row r="1240" spans="15:15" x14ac:dyDescent="0.35">
      <c r="O1240"/>
    </row>
    <row r="1241" spans="15:15" x14ac:dyDescent="0.35">
      <c r="O1241"/>
    </row>
    <row r="1242" spans="15:15" x14ac:dyDescent="0.35">
      <c r="O1242"/>
    </row>
    <row r="1243" spans="15:15" x14ac:dyDescent="0.35">
      <c r="O1243"/>
    </row>
    <row r="1244" spans="15:15" x14ac:dyDescent="0.35">
      <c r="O1244"/>
    </row>
    <row r="1245" spans="15:15" x14ac:dyDescent="0.35">
      <c r="O1245"/>
    </row>
    <row r="1246" spans="15:15" x14ac:dyDescent="0.35">
      <c r="O1246"/>
    </row>
    <row r="1247" spans="15:15" x14ac:dyDescent="0.35">
      <c r="O1247"/>
    </row>
    <row r="1248" spans="15:15" x14ac:dyDescent="0.35">
      <c r="O1248"/>
    </row>
    <row r="1249" spans="15:15" x14ac:dyDescent="0.35">
      <c r="O1249"/>
    </row>
    <row r="1250" spans="15:15" x14ac:dyDescent="0.35">
      <c r="O1250"/>
    </row>
    <row r="1251" spans="15:15" x14ac:dyDescent="0.35">
      <c r="O1251"/>
    </row>
    <row r="1252" spans="15:15" x14ac:dyDescent="0.35">
      <c r="O1252"/>
    </row>
    <row r="1253" spans="15:15" x14ac:dyDescent="0.35">
      <c r="O1253"/>
    </row>
    <row r="1254" spans="15:15" x14ac:dyDescent="0.35">
      <c r="O1254"/>
    </row>
    <row r="1255" spans="15:15" x14ac:dyDescent="0.35">
      <c r="O1255"/>
    </row>
    <row r="1256" spans="15:15" x14ac:dyDescent="0.35">
      <c r="O1256"/>
    </row>
    <row r="1257" spans="15:15" x14ac:dyDescent="0.35">
      <c r="O1257"/>
    </row>
    <row r="1258" spans="15:15" x14ac:dyDescent="0.35">
      <c r="O1258"/>
    </row>
    <row r="1259" spans="15:15" x14ac:dyDescent="0.35">
      <c r="O1259"/>
    </row>
    <row r="1260" spans="15:15" x14ac:dyDescent="0.35">
      <c r="O1260"/>
    </row>
    <row r="1261" spans="15:15" x14ac:dyDescent="0.35">
      <c r="O1261"/>
    </row>
    <row r="1262" spans="15:15" x14ac:dyDescent="0.35">
      <c r="O1262"/>
    </row>
    <row r="1263" spans="15:15" x14ac:dyDescent="0.35">
      <c r="O1263"/>
    </row>
    <row r="1264" spans="15:15" x14ac:dyDescent="0.35">
      <c r="O1264"/>
    </row>
    <row r="1265" spans="15:15" x14ac:dyDescent="0.35">
      <c r="O1265"/>
    </row>
    <row r="1266" spans="15:15" x14ac:dyDescent="0.35">
      <c r="O1266"/>
    </row>
    <row r="1267" spans="15:15" x14ac:dyDescent="0.35">
      <c r="O1267"/>
    </row>
    <row r="1268" spans="15:15" x14ac:dyDescent="0.35">
      <c r="O1268"/>
    </row>
    <row r="1269" spans="15:15" x14ac:dyDescent="0.35">
      <c r="O1269"/>
    </row>
    <row r="1270" spans="15:15" x14ac:dyDescent="0.35">
      <c r="O1270"/>
    </row>
    <row r="1271" spans="15:15" x14ac:dyDescent="0.35">
      <c r="O1271"/>
    </row>
    <row r="1272" spans="15:15" x14ac:dyDescent="0.35">
      <c r="O1272"/>
    </row>
    <row r="1273" spans="15:15" x14ac:dyDescent="0.35">
      <c r="O1273"/>
    </row>
    <row r="1274" spans="15:15" x14ac:dyDescent="0.35">
      <c r="O1274"/>
    </row>
    <row r="1275" spans="15:15" x14ac:dyDescent="0.35">
      <c r="O1275"/>
    </row>
    <row r="1276" spans="15:15" x14ac:dyDescent="0.35">
      <c r="O1276"/>
    </row>
    <row r="1277" spans="15:15" x14ac:dyDescent="0.35">
      <c r="O1277"/>
    </row>
    <row r="1278" spans="15:15" x14ac:dyDescent="0.35">
      <c r="O1278"/>
    </row>
    <row r="1279" spans="15:15" x14ac:dyDescent="0.35">
      <c r="O1279"/>
    </row>
    <row r="1280" spans="15:15" x14ac:dyDescent="0.35">
      <c r="O1280"/>
    </row>
    <row r="1281" spans="15:15" x14ac:dyDescent="0.35">
      <c r="O1281"/>
    </row>
    <row r="1282" spans="15:15" x14ac:dyDescent="0.35">
      <c r="O1282"/>
    </row>
    <row r="1283" spans="15:15" x14ac:dyDescent="0.35">
      <c r="O1283"/>
    </row>
    <row r="1284" spans="15:15" x14ac:dyDescent="0.35">
      <c r="O1284"/>
    </row>
    <row r="1285" spans="15:15" x14ac:dyDescent="0.35">
      <c r="O1285"/>
    </row>
    <row r="1286" spans="15:15" x14ac:dyDescent="0.35">
      <c r="O1286"/>
    </row>
    <row r="1287" spans="15:15" x14ac:dyDescent="0.35">
      <c r="O1287"/>
    </row>
    <row r="1288" spans="15:15" x14ac:dyDescent="0.35">
      <c r="O1288"/>
    </row>
    <row r="1289" spans="15:15" x14ac:dyDescent="0.35">
      <c r="O1289"/>
    </row>
    <row r="1290" spans="15:15" x14ac:dyDescent="0.35">
      <c r="O1290"/>
    </row>
    <row r="1291" spans="15:15" x14ac:dyDescent="0.35">
      <c r="O1291"/>
    </row>
    <row r="1292" spans="15:15" x14ac:dyDescent="0.35">
      <c r="O1292"/>
    </row>
    <row r="1293" spans="15:15" x14ac:dyDescent="0.35">
      <c r="O1293"/>
    </row>
    <row r="1294" spans="15:15" x14ac:dyDescent="0.35">
      <c r="O1294"/>
    </row>
    <row r="1295" spans="15:15" x14ac:dyDescent="0.35">
      <c r="O1295"/>
    </row>
    <row r="1296" spans="15:15" x14ac:dyDescent="0.35">
      <c r="O1296"/>
    </row>
    <row r="1297" spans="15:15" x14ac:dyDescent="0.35">
      <c r="O1297"/>
    </row>
    <row r="1298" spans="15:15" x14ac:dyDescent="0.35">
      <c r="O1298"/>
    </row>
    <row r="1299" spans="15:15" x14ac:dyDescent="0.35">
      <c r="O1299"/>
    </row>
    <row r="1300" spans="15:15" x14ac:dyDescent="0.35">
      <c r="O1300"/>
    </row>
    <row r="1301" spans="15:15" x14ac:dyDescent="0.35">
      <c r="O1301"/>
    </row>
    <row r="1302" spans="15:15" x14ac:dyDescent="0.35">
      <c r="O1302"/>
    </row>
    <row r="1303" spans="15:15" x14ac:dyDescent="0.35">
      <c r="O1303"/>
    </row>
    <row r="1304" spans="15:15" x14ac:dyDescent="0.35">
      <c r="O1304"/>
    </row>
    <row r="1305" spans="15:15" x14ac:dyDescent="0.35">
      <c r="O1305"/>
    </row>
    <row r="1306" spans="15:15" x14ac:dyDescent="0.35">
      <c r="O1306"/>
    </row>
    <row r="1307" spans="15:15" x14ac:dyDescent="0.35">
      <c r="O1307"/>
    </row>
    <row r="1308" spans="15:15" x14ac:dyDescent="0.35">
      <c r="O1308"/>
    </row>
    <row r="1309" spans="15:15" x14ac:dyDescent="0.35">
      <c r="O1309"/>
    </row>
    <row r="1310" spans="15:15" x14ac:dyDescent="0.35">
      <c r="O1310"/>
    </row>
    <row r="1311" spans="15:15" x14ac:dyDescent="0.35">
      <c r="O1311"/>
    </row>
    <row r="1312" spans="15:15" x14ac:dyDescent="0.35">
      <c r="O1312"/>
    </row>
    <row r="1313" spans="15:15" x14ac:dyDescent="0.35">
      <c r="O1313"/>
    </row>
    <row r="1314" spans="15:15" x14ac:dyDescent="0.35">
      <c r="O1314"/>
    </row>
    <row r="1315" spans="15:15" x14ac:dyDescent="0.35">
      <c r="O1315"/>
    </row>
    <row r="1316" spans="15:15" x14ac:dyDescent="0.35">
      <c r="O1316"/>
    </row>
  </sheetData>
  <mergeCells count="113">
    <mergeCell ref="N67:N69"/>
    <mergeCell ref="A67:A69"/>
    <mergeCell ref="G67:G69"/>
    <mergeCell ref="J67:J69"/>
    <mergeCell ref="K67:K69"/>
    <mergeCell ref="K61:K63"/>
    <mergeCell ref="N61:N63"/>
    <mergeCell ref="A64:A66"/>
    <mergeCell ref="G64:G66"/>
    <mergeCell ref="J64:J66"/>
    <mergeCell ref="K64:K66"/>
    <mergeCell ref="N64:N66"/>
    <mergeCell ref="A61:A63"/>
    <mergeCell ref="C62:E62"/>
    <mergeCell ref="C63:E63"/>
    <mergeCell ref="C64:E64"/>
    <mergeCell ref="C65:E65"/>
    <mergeCell ref="C66:E66"/>
    <mergeCell ref="C67:E67"/>
    <mergeCell ref="C68:E68"/>
    <mergeCell ref="C69:E69"/>
    <mergeCell ref="N49:N51"/>
    <mergeCell ref="A52:A54"/>
    <mergeCell ref="G52:G54"/>
    <mergeCell ref="J52:J54"/>
    <mergeCell ref="K52:K54"/>
    <mergeCell ref="N52:N54"/>
    <mergeCell ref="N55:N57"/>
    <mergeCell ref="A58:A60"/>
    <mergeCell ref="G58:G60"/>
    <mergeCell ref="J58:J60"/>
    <mergeCell ref="K58:K60"/>
    <mergeCell ref="N58:N60"/>
    <mergeCell ref="K46:K48"/>
    <mergeCell ref="N46:N48"/>
    <mergeCell ref="G40:G42"/>
    <mergeCell ref="J40:J42"/>
    <mergeCell ref="K40:K42"/>
    <mergeCell ref="N40:N42"/>
    <mergeCell ref="G43:G45"/>
    <mergeCell ref="J43:J45"/>
    <mergeCell ref="K43:K45"/>
    <mergeCell ref="N43:N45"/>
    <mergeCell ref="G46:G48"/>
    <mergeCell ref="J46:J48"/>
    <mergeCell ref="A40:A42"/>
    <mergeCell ref="A43:A45"/>
    <mergeCell ref="A46:A48"/>
    <mergeCell ref="A49:A51"/>
    <mergeCell ref="A55:A57"/>
    <mergeCell ref="C43:E43"/>
    <mergeCell ref="C44:E44"/>
    <mergeCell ref="C45:E45"/>
    <mergeCell ref="C46:E46"/>
    <mergeCell ref="C47:E47"/>
    <mergeCell ref="C48:E48"/>
    <mergeCell ref="K6:M6"/>
    <mergeCell ref="K2:N2"/>
    <mergeCell ref="A35:C35"/>
    <mergeCell ref="G73:H73"/>
    <mergeCell ref="F25:J25"/>
    <mergeCell ref="A2:C2"/>
    <mergeCell ref="K10:M10"/>
    <mergeCell ref="K11:M13"/>
    <mergeCell ref="F13:G13"/>
    <mergeCell ref="C15:D15"/>
    <mergeCell ref="F7:G7"/>
    <mergeCell ref="K7:M7"/>
    <mergeCell ref="F8:G8"/>
    <mergeCell ref="K8:M8"/>
    <mergeCell ref="F9:G9"/>
    <mergeCell ref="K9:M9"/>
    <mergeCell ref="F5:G5"/>
    <mergeCell ref="K5:M5"/>
    <mergeCell ref="F6:G6"/>
    <mergeCell ref="F27:J27"/>
    <mergeCell ref="F28:J29"/>
    <mergeCell ref="C17:D17"/>
    <mergeCell ref="C18:D18"/>
    <mergeCell ref="F22:J22"/>
    <mergeCell ref="A75:B75"/>
    <mergeCell ref="C75:F75"/>
    <mergeCell ref="H75:L75"/>
    <mergeCell ref="G49:G51"/>
    <mergeCell ref="J49:J51"/>
    <mergeCell ref="K49:K51"/>
    <mergeCell ref="G55:G57"/>
    <mergeCell ref="J55:J57"/>
    <mergeCell ref="K55:K57"/>
    <mergeCell ref="G61:G63"/>
    <mergeCell ref="J61:J63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F10:G10"/>
    <mergeCell ref="F11:G11"/>
    <mergeCell ref="F12:G12"/>
    <mergeCell ref="C19:D19"/>
    <mergeCell ref="F23:J24"/>
    <mergeCell ref="C39:E39"/>
    <mergeCell ref="C40:E40"/>
    <mergeCell ref="C41:E41"/>
    <mergeCell ref="C42:E42"/>
  </mergeCells>
  <dataValidations count="2">
    <dataValidation type="list" allowBlank="1" showInputMessage="1" showErrorMessage="1" sqref="C29" xr:uid="{6119F462-22B1-48C7-927A-1828D12ABA72}">
      <formula1>$Q$23:$Q$24</formula1>
    </dataValidation>
    <dataValidation type="list" allowBlank="1" showInputMessage="1" showErrorMessage="1" sqref="K9:M9" xr:uid="{C05ADA6E-C5FE-48B6-9511-B95B03DCD29E}">
      <formula1>$R$15:$R$20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5A5F255F2B66C409D43A737833D66F5" ma:contentTypeVersion="13" ma:contentTypeDescription="Crée un document." ma:contentTypeScope="" ma:versionID="08842a7d14424fab45fa46f0fd2346e6">
  <xsd:schema xmlns:xsd="http://www.w3.org/2001/XMLSchema" xmlns:xs="http://www.w3.org/2001/XMLSchema" xmlns:p="http://schemas.microsoft.com/office/2006/metadata/properties" xmlns:ns2="8eddc163-c0a9-4628-be77-537a13c1992f" xmlns:ns3="1838925d-45a1-4dde-8f30-a224043f44c5" targetNamespace="http://schemas.microsoft.com/office/2006/metadata/properties" ma:root="true" ma:fieldsID="ec39951fd1516f0715014eee4bda9e4f" ns2:_="" ns3:_="">
    <xsd:import namespace="8eddc163-c0a9-4628-be77-537a13c1992f"/>
    <xsd:import namespace="1838925d-45a1-4dde-8f30-a224043f44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ddc163-c0a9-4628-be77-537a13c1992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Balises d’images" ma:readOnly="false" ma:fieldId="{5cf76f15-5ced-4ddc-b409-7134ff3c332f}" ma:taxonomyMulti="true" ma:sspId="930ef261-79a6-4d52-adb9-c3d27d5fac4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38925d-45a1-4dde-8f30-a224043f44c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8ad4c00-7002-46c7-bf50-54e80f6038f0}" ma:internalName="TaxCatchAll" ma:showField="CatchAllData" ma:web="1838925d-45a1-4dde-8f30-a224043f44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ddc163-c0a9-4628-be77-537a13c1992f">
      <Terms xmlns="http://schemas.microsoft.com/office/infopath/2007/PartnerControls"/>
    </lcf76f155ced4ddcb4097134ff3c332f>
    <TaxCatchAll xmlns="1838925d-45a1-4dde-8f30-a224043f44c5" xsi:nil="true"/>
  </documentManagement>
</p:properties>
</file>

<file path=customXml/itemProps1.xml><?xml version="1.0" encoding="utf-8"?>
<ds:datastoreItem xmlns:ds="http://schemas.openxmlformats.org/officeDocument/2006/customXml" ds:itemID="{B90AD38E-CCC4-4EBF-8322-B0CAA24A352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ddc163-c0a9-4628-be77-537a13c1992f"/>
    <ds:schemaRef ds:uri="1838925d-45a1-4dde-8f30-a224043f44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5FAF2C1-0E03-46FA-81E4-660F6DBAF3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6B21680-25AF-46E6-B5E4-68327AFDC860}">
  <ds:schemaRefs>
    <ds:schemaRef ds:uri="http://schemas.microsoft.com/office/2006/metadata/properties"/>
    <ds:schemaRef ds:uri="http://schemas.microsoft.com/office/infopath/2007/PartnerControls"/>
    <ds:schemaRef ds:uri="8eddc163-c0a9-4628-be77-537a13c1992f"/>
    <ds:schemaRef ds:uri="1838925d-45a1-4dde-8f30-a224043f44c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Pierre Mourey</dc:creator>
  <cp:lastModifiedBy>Pierre Mourey</cp:lastModifiedBy>
  <dcterms:created xsi:type="dcterms:W3CDTF">2026-02-28T09:59:18Z</dcterms:created>
  <dcterms:modified xsi:type="dcterms:W3CDTF">2026-03-11T07:50:54Z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0x010100A5A5F255F2B66C409D43A737833D66F5</vt:lpwstr>
  </property>
  <property fmtid="{D5CDD505-2E9C-101B-9397-08002B2CF9AE}" pid="3" name="MediaServiceImageTags">
    <vt:lpwstr/>
  </property>
</Properties>
</file>